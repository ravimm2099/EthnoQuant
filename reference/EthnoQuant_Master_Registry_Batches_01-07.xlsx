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74af94b14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03df7d7ab664ab3"/>
    <x:sheet xmlns:r="http://schemas.openxmlformats.org/officeDocument/2006/relationships" name="Read Me" sheetId="2" r:id="Rcc1c0cde046a4025"/>
    <x:sheet xmlns:r="http://schemas.openxmlformats.org/officeDocument/2006/relationships" name="FIC Example" sheetId="3" r:id="R11c8dad877914f48"/>
    <x:sheet xmlns:r="http://schemas.openxmlformats.org/officeDocument/2006/relationships" name="RI Audit 136" sheetId="4" r:id="Rbf46613afb0c495c"/>
    <x:sheet xmlns:r="http://schemas.openxmlformats.org/officeDocument/2006/relationships" name="Batch 2 - Formulas 11-20" sheetId="5" r:id="Ra2896e2207664609"/>
    <x:sheet xmlns:r="http://schemas.openxmlformats.org/officeDocument/2006/relationships" name="Batch 2 Example Checks" sheetId="6" r:id="Rde98c296310c4781"/>
    <x:sheet xmlns:r="http://schemas.openxmlformats.org/officeDocument/2006/relationships" name="Batch03_21_30" sheetId="7" r:id="R2e043f237d644f0e"/>
    <x:sheet xmlns:r="http://schemas.openxmlformats.org/officeDocument/2006/relationships" name="Batch03_Test_Examples" sheetId="8" r:id="Ra1a93833ec2f449c"/>
    <x:sheet xmlns:r="http://schemas.openxmlformats.org/officeDocument/2006/relationships" name="Batch04_31_40" sheetId="9" r:id="R97ebe9bed7504caa"/>
    <x:sheet xmlns:r="http://schemas.openxmlformats.org/officeDocument/2006/relationships" name="Batch04_Example_Checks" sheetId="10" r:id="Re764ee7692764850"/>
    <x:sheet xmlns:r="http://schemas.openxmlformats.org/officeDocument/2006/relationships" name="Batch05_41_50" sheetId="11" r:id="R6a13c4d839db4636"/>
    <x:sheet xmlns:r="http://schemas.openxmlformats.org/officeDocument/2006/relationships" name="Batch05_Example_Audit" sheetId="12" r:id="R1196cf29cdf147ac"/>
    <x:sheet xmlns:r="http://schemas.openxmlformats.org/officeDocument/2006/relationships" name="Batch06_51_60" sheetId="13" r:id="R130d985db15e4c0e"/>
    <x:sheet xmlns:r="http://schemas.openxmlformats.org/officeDocument/2006/relationships" name="Batch06_Example_Audit" sheetId="14" r:id="Ra7402bbe15164902"/>
    <x:sheet xmlns:r="http://schemas.openxmlformats.org/officeDocument/2006/relationships" name="Unnumbered Method" sheetId="15" r:id="R2d021b3c5dd64dab"/>
    <x:sheet xmlns:r="http://schemas.openxmlformats.org/officeDocument/2006/relationships" name="Batch07 Worked Examples" sheetId="16" r:id="Rd685c85b301f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6B55"/>
      </x:patternFill>
    </x:fill>
    <x:fill>
      <x:patternFill patternType="solid">
        <x:fgColor rgb="FF126A66"/>
      </x:patternFill>
    </x:fill>
    <x:fill>
      <x:patternFill patternType="solid">
        <x:fgColor rgb="FF174C48"/>
      </x:patternFill>
    </x:fill>
    <x:fill>
      <x:patternFill patternType="solid">
        <x:fgColor rgb="FF14635B"/>
      </x:patternFill>
    </x:fill>
    <x:fill>
      <x:patternFill patternType="solid">
        <x:fgColor rgb="FF164A5C"/>
      </x:patternFill>
    </x:fill>
    <x:fill>
      <x:patternFill patternType="solid">
        <x:fgColor rgb="FF115E59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74a94948746b8" /><Relationship Type="http://schemas.openxmlformats.org/officeDocument/2006/relationships/theme" Target="/xl/theme/theme1.xml" Id="R02ffdd5ebe824eee" /><Relationship Type="http://schemas.openxmlformats.org/officeDocument/2006/relationships/sharedStrings" Target="/xl/sharedStrings.xml" Id="Rc8a5734e9b48407b" /><Relationship Type="http://schemas.openxmlformats.org/officeDocument/2006/relationships/worksheet" Target="/xl/worksheets/sheet1.xml" Id="R603df7d7ab664ab3" /><Relationship Type="http://schemas.openxmlformats.org/officeDocument/2006/relationships/worksheet" Target="/xl/worksheets/sheet2.xml" Id="Rcc1c0cde046a4025" /><Relationship Type="http://schemas.openxmlformats.org/officeDocument/2006/relationships/worksheet" Target="/xl/worksheets/sheet3.xml" Id="R11c8dad877914f48" /><Relationship Type="http://schemas.openxmlformats.org/officeDocument/2006/relationships/worksheet" Target="/xl/worksheets/sheet4.xml" Id="Rbf46613afb0c495c" /><Relationship Type="http://schemas.openxmlformats.org/officeDocument/2006/relationships/worksheet" Target="/xl/worksheets/sheet5.xml" Id="Ra2896e2207664609" /><Relationship Type="http://schemas.openxmlformats.org/officeDocument/2006/relationships/worksheet" Target="/xl/worksheets/sheet6.xml" Id="Rde98c296310c4781" /><Relationship Type="http://schemas.openxmlformats.org/officeDocument/2006/relationships/worksheet" Target="/xl/worksheets/sheet7.xml" Id="R2e043f237d644f0e" /><Relationship Type="http://schemas.openxmlformats.org/officeDocument/2006/relationships/worksheet" Target="/xl/worksheets/sheet8.xml" Id="Ra1a93833ec2f449c" /><Relationship Type="http://schemas.openxmlformats.org/officeDocument/2006/relationships/worksheet" Target="/xl/worksheets/sheet9.xml" Id="R97ebe9bed7504caa" /><Relationship Type="http://schemas.openxmlformats.org/officeDocument/2006/relationships/worksheet" Target="/xl/worksheets/sheet10.xml" Id="Re764ee7692764850" /><Relationship Type="http://schemas.openxmlformats.org/officeDocument/2006/relationships/worksheet" Target="/xl/worksheets/sheet11.xml" Id="R6a13c4d839db4636" /><Relationship Type="http://schemas.openxmlformats.org/officeDocument/2006/relationships/worksheet" Target="/xl/worksheets/sheet12.xml" Id="R1196cf29cdf147ac" /><Relationship Type="http://schemas.openxmlformats.org/officeDocument/2006/relationships/worksheet" Target="/xl/worksheets/sheet13.xml" Id="R130d985db15e4c0e" /><Relationship Type="http://schemas.openxmlformats.org/officeDocument/2006/relationships/worksheet" Target="/xl/worksheets/sheet14.xml" Id="Ra7402bbe15164902" /><Relationship Type="http://schemas.openxmlformats.org/officeDocument/2006/relationships/worksheet" Target="/xl/worksheets/sheet15.xml" Id="R2d021b3c5dd64dab" /><Relationship Type="http://schemas.openxmlformats.org/officeDocument/2006/relationships/worksheet" Target="/xl/worksheets/sheet16.xml" Id="Rd685c85b301f40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3" hidden="0" customWidth="1"/>
    <x:col min="4" max="4" width="23" hidden="0" customWidth="1"/>
    <x:col min="5" max="5" width="23" hidden="0" customWidth="1"/>
    <x:col min="6" max="6" width="47" hidden="0" customWidth="1"/>
    <x:col min="7" max="7" width="47" hidden="0" customWidth="1"/>
    <x:col min="8" max="8" width="47" hidden="0" customWidth="1"/>
    <x:col min="9" max="9" width="47" hidden="0" customWidth="1"/>
    <x:col min="10" max="10" width="47" hidden="0" customWidth="1"/>
    <x:col min="11" max="11" width="47" hidden="0" customWidth="1"/>
  </x:cols>
  <x:sheetData>
    <x:row r="1" ht="32" customHeight="1">
      <x:c r="A1" s="27" t="str">
        <x:v>ID</x:v>
      </x:c>
      <x:c r="B1" s="27" t="str">
        <x:v>No.</x:v>
      </x:c>
      <x:c r="C1" s="27" t="str">
        <x:v>Index</x:v>
      </x:c>
      <x:c r="D1" s="27" t="str">
        <x:v>Abbrev.</x:v>
      </x:c>
      <x:c r="E1" s="27" t="str">
        <x:v>Family</x:v>
      </x:c>
      <x:c r="F1" s="27" t="str">
        <x:v>Equation / implementation</x:v>
      </x:c>
      <x:c r="G1" s="27" t="str">
        <x:v>Symbols</x:v>
      </x:c>
      <x:c r="H1" s="27" t="str">
        <x:v>Required input fields</x:v>
      </x:c>
      <x:c r="I1" s="27" t="str">
        <x:v>Verification notes</x:v>
      </x:c>
      <x:c r="J1" s="27" t="str">
        <x:v>Status</x:v>
      </x:c>
      <x:c r="K1" s="27" t="str">
        <x:v>Rules</x:v>
      </x:c>
    </x:row>
    <x:row r="2">
      <x:c r="A2" s="7" t="str">
        <x:v>ETH-001</x:v>
      </x:c>
      <x:c r="B2" s="7" t="n">
        <x:v>1</x:v>
      </x:c>
      <x:c r="C2" s="7" t="str">
        <x:v>Informant Consensus Factor</x:v>
      </x:c>
      <x:c r="D2" s="7" t="str">
        <x:v>FIC</x:v>
      </x:c>
      <x:c r="E2" s="7" t="str">
        <x:v>Consensus</x:v>
      </x:c>
      <x:c r="F2" s="7" t="str">
        <x:v>(Nur-Nt)/(Nur-1)</x:v>
      </x:c>
      <x:c r="G2" s="7" t="str">
        <x:v>Nur: use-report count; Nt: distinct taxa</x:v>
      </x:c>
      <x:c r="H2" s="7" t="str">
        <x:v>use_category, species, report_id</x:v>
      </x:c>
      <x:c r="I2" s="7" t="str">
        <x:v>Verified equation; supplied values corrected</x:v>
      </x:c>
      <x:c r="J2" s="7" t="str">
        <x:v>ready for testing</x:v>
      </x:c>
      <x:c r="K2" s="7" t="str">
        <x:v>Undefined Nur&lt;=1; Nur&gt;=Nt</x:v>
      </x:c>
    </x:row>
    <x:row r="3">
      <x:c r="A3" s="7" t="str">
        <x:v>ETH-002</x:v>
      </x:c>
      <x:c r="B3" s="7" t="n">
        <x:v>2</x:v>
      </x:c>
      <x:c r="C3" s="7" t="str">
        <x:v>Use Value</x:v>
      </x:c>
      <x:c r="D3" s="7" t="str">
        <x:v>UV</x:v>
      </x:c>
      <x:c r="E3" s="7" t="str">
        <x:v>Use values</x:v>
      </x:c>
      <x:c r="F3" s="7" t="str">
        <x:v>sum_i U_is/N_s</x:v>
      </x:c>
      <x:c r="G3" s="7" t="str">
        <x:v>U_is: distinct uses by informant i of species s; N_s: eligible informants</x:v>
      </x:c>
      <x:c r="H3" s="7" t="str">
        <x:v>informant_id,species,use_category,use_id</x:v>
      </x:c>
      <x:c r="I3" s="7" t="str">
        <x:v>Verified; original complete 12-informant matrix absent</x:v>
      </x:c>
      <x:c r="J3" s="7" t="str">
        <x:v>ready for testing</x:v>
      </x:c>
      <x:c r="K3" s="7" t="str">
        <x:v>Zero-report informants must be included when eligible</x:v>
      </x:c>
    </x:row>
    <x:row r="4">
      <x:c r="A4" s="7" t="str">
        <x:v>ETH-003</x:v>
      </x:c>
      <x:c r="B4" s="7" t="n">
        <x:v>3</x:v>
      </x:c>
      <x:c r="C4" s="7" t="str">
        <x:v>Relative Use Value</x:v>
      </x:c>
      <x:c r="D4" s="7" t="str">
        <x:v>RUV_i</x:v>
      </x:c>
      <x:c r="E4" s="7" t="str">
        <x:v>Use values</x:v>
      </x:c>
      <x:c r="F4" s="7" t="str">
        <x:v>PROVISIONAL: (1/n) sum_s (UV_is/UV_s)</x:v>
      </x:c>
      <x:c r="G4" s="7" t="str">
        <x:v>UV_is: individual species use value; UV_s: sample mean; n: included species</x:v>
      </x:c>
      <x:c r="H4" s="7" t="str">
        <x:v>informant_id,species,use_id</x:v>
      </x:c>
      <x:c r="I4" s="7" t="str">
        <x:v>Source equation missing from plaintext; proposed reconstruction requires source check</x:v>
      </x:c>
      <x:c r="J4" s="7" t="str">
        <x:v>hold - source equation</x:v>
      </x:c>
      <x:c r="K4" s="7" t="str">
        <x:v>UV_s=0 undefined; species denominator policy required</x:v>
      </x:c>
    </x:row>
    <x:row r="5">
      <x:c r="A5" s="7" t="str">
        <x:v>ETH-004</x:v>
      </x:c>
      <x:c r="B5" s="7" t="n">
        <x:v>4</x:v>
      </x:c>
      <x:c r="C5" s="7" t="str">
        <x:v>Use-value for one species</x:v>
      </x:c>
      <x:c r="D5" s="7" t="str">
        <x:v>UVc</x:v>
      </x:c>
      <x:c r="E5" s="7" t="str">
        <x:v>Use values</x:v>
      </x:c>
      <x:c r="F5" s="7" t="str">
        <x:v>sum_i U_is/n_s</x:v>
      </x:c>
      <x:c r="G5" s="7" t="str">
        <x:v>U_is: citations/uses per informant; n_s: denominator as defined by protocol</x:v>
      </x:c>
      <x:c r="H5" s="7" t="str">
        <x:v>informant_id,species,use_id</x:v>
      </x:c>
      <x:c r="I5" s="7" t="str">
        <x:v>Equivalent to UV under consistent unit/denominator</x:v>
      </x:c>
      <x:c r="J5" s="7" t="str">
        <x:v>ready for testing</x:v>
      </x:c>
      <x:c r="K5" s="7" t="str">
        <x:v>Distinguish number of citations from number of distinct uses</x:v>
      </x:c>
    </x:row>
    <x:row r="6">
      <x:c r="A6" s="7" t="str">
        <x:v>ETH-005</x:v>
      </x:c>
      <x:c r="B6" s="7" t="n">
        <x:v>5</x:v>
      </x:c>
      <x:c r="C6" s="7" t="str">
        <x:v>Species use-value for one informant</x:v>
      </x:c>
      <x:c r="D6" s="7" t="str">
        <x:v>UV_is,event</x:v>
      </x:c>
      <x:c r="E6" s="7" t="str">
        <x:v>Use values</x:v>
      </x:c>
      <x:c r="F6" s="7" t="str">
        <x:v>sum_e U_ise/N_is</x:v>
      </x:c>
      <x:c r="G6" s="7" t="str">
        <x:v>U_ise: uses in event e; N_is: observed events for species and informant</x:v>
      </x:c>
      <x:c r="H6" s="7" t="str">
        <x:v>informant_id,species,event_id,use_id</x:v>
      </x:c>
      <x:c r="I6" s="7" t="str">
        <x:v>Equation clear; source narrative expectation of 1 not universal</x:v>
      </x:c>
      <x:c r="J6" s="7" t="str">
        <x:v>ready for testing</x:v>
      </x:c>
      <x:c r="K6" s="7" t="str">
        <x:v>Count repeated uses per event consistently</x:v>
      </x:c>
    </x:row>
    <x:row r="7">
      <x:c r="A7" s="7" t="str">
        <x:v>ETH-006</x:v>
      </x:c>
      <x:c r="B7" s="7" t="n">
        <x:v>6</x:v>
      </x:c>
      <x:c r="C7" s="7" t="str">
        <x:v>Fidelity Level</x:v>
      </x:c>
      <x:c r="D7" s="7" t="str">
        <x:v>FL</x:v>
      </x:c>
      <x:c r="E7" s="7" t="str">
        <x:v>Medicinal consensus</x:v>
      </x:c>
      <x:c r="F7" s="7" t="str">
        <x:v>100*Np/N</x:v>
      </x:c>
      <x:c r="G7" s="7" t="str">
        <x:v>Np: informants citing species for focal disease; N: informants citing species for any medicinal use</x:v>
      </x:c>
      <x:c r="H7" s="7" t="str">
        <x:v>informant_id,species,disease_category</x:v>
      </x:c>
      <x:c r="I7" s="7" t="str">
        <x:v>Verified FL; ROP=FL*RPL conditional on externally defined RPL</x:v>
      </x:c>
      <x:c r="J7" s="7" t="str">
        <x:v>ready for testing</x:v>
      </x:c>
      <x:c r="K7" s="7" t="str">
        <x:v>Distinct informants, not raw use reports; N&gt;0</x:v>
      </x:c>
    </x:row>
    <x:row r="8">
      <x:c r="A8" s="7" t="str">
        <x:v>ETH-007</x:v>
      </x:c>
      <x:c r="B8" s="7" t="n">
        <x:v>7</x:v>
      </x:c>
      <x:c r="C8" s="7" t="str">
        <x:v>Use Value Index</x:v>
      </x:c>
      <x:c r="D8" s="7" t="str">
        <x:v>UVS</x:v>
      </x:c>
      <x:c r="E8" s="7" t="str">
        <x:v>Use values</x:v>
      </x:c>
      <x:c r="F8" s="7" t="str">
        <x:v>PROVISIONAL: sum_i UV_is/n_s</x:v>
      </x:c>
      <x:c r="G8" s="7" t="str">
        <x:v>UV_is: use value per informant; n_s: informants sampled or reporting species</x:v>
      </x:c>
      <x:c r="H8" s="7" t="str">
        <x:v>informant_id,species,use_id</x:v>
      </x:c>
      <x:c r="I8" s="7" t="str">
        <x:v>Source misdefines UV_is as informant count; cannot validate unique index</x:v>
      </x:c>
      <x:c r="J8" s="7" t="str">
        <x:v>hold - denominator</x:v>
      </x:c>
      <x:c r="K8" s="7" t="str">
        <x:v>Overlaps UV/UVc; require original reference</x:v>
      </x:c>
    </x:row>
    <x:row r="9">
      <x:c r="A9" s="7" t="str">
        <x:v>ETH-008</x:v>
      </x:c>
      <x:c r="B9" s="7" t="n">
        <x:v>8</x:v>
      </x:c>
      <x:c r="C9" s="7" t="str">
        <x:v>Informant Agreement Ratio</x:v>
      </x:c>
      <x:c r="D9" s="7" t="str">
        <x:v>IAR</x:v>
      </x:c>
      <x:c r="E9" s="7" t="str">
        <x:v>Consensus</x:v>
      </x:c>
      <x:c r="F9" s="7" t="str">
        <x:v>(Ur-Npu)/(Ur-1)</x:v>
      </x:c>
      <x:c r="G9" s="7" t="str">
        <x:v>Ur: reports per category; Npu: distinct plant taxa</x:v>
      </x:c>
      <x:c r="H9" s="7" t="str">
        <x:v>use_category,species,report_id</x:v>
      </x:c>
      <x:c r="I9" s="7" t="str">
        <x:v>Verified; same computation as FIC under matching data definitions</x:v>
      </x:c>
      <x:c r="J9" s="7" t="str">
        <x:v>ready for testing</x:v>
      </x:c>
      <x:c r="K9" s="7" t="str">
        <x:v>Undefined Ur&lt;=1; CAR example 563/1230</x:v>
      </x:c>
    </x:row>
    <x:row r="10">
      <x:c r="A10" s="7" t="str">
        <x:v>ETH-009</x:v>
      </x:c>
      <x:c r="B10" s="7" t="n">
        <x:v>9</x:v>
      </x:c>
      <x:c r="C10" s="7" t="str">
        <x:v>Relative Importance</x:v>
      </x:c>
      <x:c r="D10" s="7" t="str">
        <x:v>RI</x:v>
      </x:c>
      <x:c r="E10" s="7" t="str">
        <x:v>Versatility</x:v>
      </x:c>
      <x:c r="F10" s="7" t="str">
        <x:v>RI_raw=PH/max(PH)+BS/max(BS); RI_pct=50*RI_raw</x:v>
      </x:c>
      <x:c r="G10" s="7" t="str">
        <x:v>PH: distinct medicinal properties; BS: distinct body systems</x:v>
      </x:c>
      <x:c r="H10" s="7" t="str">
        <x:v>species,property,body_system</x:v>
      </x:c>
      <x:c r="I10" s="7" t="str">
        <x:v>Verified normalized variant; supplied 136-row table audited separately</x:v>
      </x:c>
      <x:c r="J10" s="7" t="str">
        <x:v>ready for testing</x:v>
      </x:c>
      <x:c r="K10" s="7" t="str">
        <x:v>RI_raw 0–2; RI_pct 0–100; do not mix variants</x:v>
      </x:c>
    </x:row>
    <x:row r="11">
      <x:c r="A11" s="7" t="str">
        <x:v>ETH-010</x:v>
      </x:c>
      <x:c r="B11" s="7" t="n">
        <x:v>10</x:v>
      </x:c>
      <x:c r="C11" s="7" t="str">
        <x:v>Cultural Importance Index</x:v>
      </x:c>
      <x:c r="D11" s="7" t="str">
        <x:v>CI</x:v>
      </x:c>
      <x:c r="E11" s="7" t="str">
        <x:v>Cultural importance</x:v>
      </x:c>
      <x:c r="F11" s="7" t="str">
        <x:v>CI_s=(1/N)sum_c UR_sc</x:v>
      </x:c>
      <x:c r="G11" s="7" t="str">
        <x:v>UR_sc: distinct informants citing species s in category c; N: all respondents in locality</x:v>
      </x:c>
      <x:c r="H11" s="7" t="str">
        <x:v>locality,informant_id,species,use_category</x:v>
      </x:c>
      <x:c r="I11" s="7" t="str">
        <x:v>Equation reconstructed from prose; example 65/90=0.7222</x:v>
      </x:c>
      <x:c r="J11" s="7" t="str">
        <x:v>ready for testing</x:v>
      </x:c>
      <x:c r="K11" s="7" t="str">
        <x:v>Max equals number of categories when binary per informant/category</x:v>
      </x:c>
    </x:row>
    <x:row r="63">
      <x:c r="A63" t="str">
        <x:v>ETH-061</x:v>
      </x:c>
      <x:c r="B63" t="n">
        <x:v>61</x:v>
      </x:c>
      <x:c r="C63" t="str">
        <x:v>De Melo Modified Conservation Importance</x:v>
      </x:c>
      <x:c r="D63" t="str">
        <x:v>IVI-DM</x:v>
      </x:c>
      <x:c r="E63" t="str">
        <x:v>Conservation</x:v>
      </x:c>
      <x:c r="F63" t="str">
        <x:v>IVI = RI + SI (source statement); SI exact equation missing</x:v>
      </x:c>
      <x:c r="G63" t="str">
        <x:v>RI: relative importance; SI: sensitivity</x:v>
      </x:c>
      <x:c r="H63" t="str">
        <x:v>species,RI,naturalness_rank,sensitivity_rank</x:v>
      </x:c>
      <x:c r="I63" t="str">
        <x:v>RI and SI scale compatibility unresolved; NR 1-3 and SR 1-6 tables provided</x:v>
      </x:c>
      <x:c r="J63" t="str">
        <x:v>hold - source equation</x:v>
      </x:c>
      <x:c r="K63" t="str">
        <x:v>Do not calculate composite until SI and scaling verified</x:v>
      </x:c>
    </x:row>
    <x:row r="64">
      <x:c r="A64" t="str">
        <x:v>ETH-062</x:v>
      </x:c>
      <x:c r="B64" t="n">
        <x:v>62</x:v>
      </x:c>
      <x:c r="C64" t="str">
        <x:v>Local Conservation Priority Index</x:v>
      </x:c>
      <x:c r="D64" t="str">
        <x:v>LCPI</x:v>
      </x:c>
      <x:c r="E64" t="str">
        <x:v>Conservation</x:v>
      </x:c>
      <x:c r="F64" t="str">
        <x:v>LCPI = CR + DA + RD</x:v>
      </x:c>
      <x:c r="G64" t="str">
        <x:v>CR: citation richness; DA: degree of attention; RD: relative density</x:v>
      </x:c>
      <x:c r="H64" t="str">
        <x:v>species,use_category,homegarden_frequency,relative_density</x:v>
      </x:c>
      <x:c r="I64" t="str">
        <x:v>Scoring tables partially inconsistent: CR 2 points/category vs 1-10; category boundaries overlap; distinct Martinez ILCP variant</x:v>
      </x:c>
      <x:c r="J64" t="str">
        <x:v>conditional - scoring rules</x:v>
      </x:c>
      <x:c r="K64" t="str">
        <x:v>Retain Albuquerque 2009 and Martinez 2013 as separate variants</x:v>
      </x:c>
    </x:row>
    <x:row r="65">
      <x:c r="A65" t="str">
        <x:v>ETH-063</x:v>
      </x:c>
      <x:c r="B65" t="n">
        <x:v>63</x:v>
      </x:c>
      <x:c r="C65" t="str">
        <x:v>Conservation Priority Index</x:v>
      </x:c>
      <x:c r="D65" t="str">
        <x:v>IPC</x:v>
      </x:c>
      <x:c r="E65" t="str">
        <x:v>Conservation</x:v>
      </x:c>
      <x:c r="F65" t="str">
        <x:v>IPC = UL + DU + SE + FCC + DR + FR</x:v>
      </x:c>
      <x:c r="G65" t="str">
        <x:v>six component scores: informant use, diversity, extraction, collection frequency, density, frequency</x:v>
      </x:c>
      <x:c r="H65" t="str">
        <x:v>species,informant_citations,use_count,extraction_signals,collection_frequency,relative_density,relative_frequency</x:v>
      </x:c>
      <x:c r="I65" t="str">
        <x:v>Six score tables provided; thresholds overlap/gap and UL 71% boundary ambiguous</x:v>
      </x:c>
      <x:c r="J65" t="str">
        <x:v>conditional - scoring rules</x:v>
      </x:c>
      <x:c r="K65" t="str">
        <x:v>Use scores only after threshold clarification; FCC vs FCE typo</x:v>
      </x:c>
    </x:row>
    <x:row r="66">
      <x:c r="A66" t="str">
        <x:v>ETH-064</x:v>
      </x:c>
      <x:c r="B66" t="n">
        <x:v>64</x:v>
      </x:c>
      <x:c r="C66" t="str">
        <x:v>Knowledge Sharing Index</x:v>
      </x:c>
      <x:c r="D66" t="str">
        <x:v>KSI</x:v>
      </x:c>
      <x:c r="E66" t="str">
        <x:v>Knowledge</x:v>
      </x:c>
      <x:c r="F66" t="str">
        <x:v>Original KSI and KRI equations missing; do not infer</x:v>
      </x:c>
      <x:c r="G66" t="str">
        <x:v>KRI_i: knowledge richness distance; KRI_max: group maximum</x:v>
      </x:c>
      <x:c r="H66" t="str">
        <x:v>informant_id,group_id,species_records</x:v>
      </x:c>
      <x:c r="I66" t="str">
        <x:v>KRI is inverse to knowledge; missing equations prevent faithful implementation</x:v>
      </x:c>
      <x:c r="J66" t="str">
        <x:v>hold - original equation</x:v>
      </x:c>
      <x:c r="K66" t="str">
        <x:v>Do not assume KSI=KRI_i/KRI_max</x:v>
      </x:c>
    </x:row>
    <x:row r="67">
      <x:c r="A67" t="str">
        <x:v>ETH-065</x:v>
      </x:c>
      <x:c r="B67" t="n">
        <x:v>65</x:v>
      </x:c>
      <x:c r="C67" t="str">
        <x:v>Ethnoecological Importance Value</x:v>
      </x:c>
      <x:c r="D67" t="str">
        <x:v>EIV</x:v>
      </x:c>
      <x:c r="E67" t="str">
        <x:v>Habitat</x:v>
      </x:c>
      <x:c r="F67" t="str">
        <x:v>EIV_h = sum_x S_x (n_xh/N_x)</x:v>
      </x:c>
      <x:c r="G67" t="str">
        <x:v>S_x: cultural salience; n_xh: count in habitat; N_x: count across all habitats</x:v>
      </x:c>
      <x:c r="H67" t="str">
        <x:v>species,habitat,abundance,salience</x:v>
      </x:c>
      <x:c r="I67" t="str">
        <x:v>Equation reconstructed directly from explicit textual definition; salience method must be selected</x:v>
      </x:c>
      <x:c r="J67" t="str">
        <x:v>ready for testing</x:v>
      </x:c>
      <x:c r="K67" t="str">
        <x:v>Exclude species with N_x=0; harmonize effort and habitat coverage</x:v>
      </x:c>
    </x:row>
    <x:row r="68">
      <x:c r="A68" t="str">
        <x:v>ETH-066</x:v>
      </x:c>
      <x:c r="B68" t="n">
        <x:v>66</x:v>
      </x:c>
      <x:c r="C68" t="str">
        <x:v>Relational Efficacy</x:v>
      </x:c>
      <x:c r="D68" t="str">
        <x:v>RE</x:v>
      </x:c>
      <x:c r="E68" t="str">
        <x:v>Comparative ethnobotany</x:v>
      </x:c>
      <x:c r="F68" t="str">
        <x:v>Original nested equation missing; model is hypothesis, not efficacy validation</x:v>
      </x:c>
      <x:c r="G68" t="str">
        <x:v>relatedness matrices for species, disease, cultures</x:v>
      </x:c>
      <x:c r="H68" t="str">
        <x:v>species,disease,culture,taxonomy,disease_relation,cultural_relation</x:v>
      </x:c>
      <x:c r="I68" t="str">
        <x:v>No faithful calculation without published expression and weighting/zero rules</x:v>
      </x:c>
      <x:c r="J68" t="str">
        <x:v>hold - original equation</x:v>
      </x:c>
      <x:c r="K68" t="str">
        <x:v>Do not interpret as clinical efficacy</x:v>
      </x:c>
    </x:row>
    <x:row r="69">
      <x:c r="A69" t="str">
        <x:v>ETH-067</x:v>
      </x:c>
      <x:c r="B69" t="n">
        <x:v>67</x:v>
      </x:c>
      <x:c r="C69" t="str">
        <x:v>Interviewee Use Contribution</x:v>
      </x:c>
      <x:c r="D69" t="str">
        <x:v>ID share</x:v>
      </x:c>
      <x:c r="E69" t="str">
        <x:v>Use diversity</x:v>
      </x:c>
      <x:c r="F69" t="str">
        <x:v>ID_is = U_is / sum_j U_js</x:v>
      </x:c>
      <x:c r="G69" t="str">
        <x:v>U_is: use reports by interviewee i for species s</x:v>
      </x:c>
      <x:c r="H69" t="str">
        <x:v>species,informant_id,use_report_count</x:v>
      </x:c>
      <x:c r="I69" t="str">
        <x:v>Supplied formula is a share, not inverse-Simpson informant diversity (formula 26)</x:v>
      </x:c>
      <x:c r="J69" t="str">
        <x:v>ready for testing</x:v>
      </x:c>
      <x:c r="K69" t="str">
        <x:v>0&lt;=share&lt;=1; shares sum to 1 within each species</x:v>
      </x:c>
    </x:row>
    <x:row r="70">
      <x:c r="A70" t="str">
        <x:v>ETH-068</x:v>
      </x:c>
      <x:c r="B70" t="n">
        <x:v>68</x:v>
      </x:c>
      <x:c r="C70" t="str">
        <x:v>Global Ethnobotanical Knowledge Index</x:v>
      </x:c>
      <x:c r="D70" t="str">
        <x:v>GEKI</x:v>
      </x:c>
      <x:c r="E70" t="str">
        <x:v>Knowledge</x:v>
      </x:c>
      <x:c r="F70" t="str">
        <x:v>P = CVR + CPF + CRG + CRS + CRU (as supplied)</x:v>
      </x:c>
      <x:c r="G70" t="str">
        <x:v>five competence component scores</x:v>
      </x:c>
      <x:c r="H70" t="str">
        <x:v>informant_id,CVR,CPF,CRG,CRS,CRU</x:v>
      </x:c>
      <x:c r="I70" t="str">
        <x:v>Scoring scales and normalization not supplied; sum only after compatible scoring confirmed</x:v>
      </x:c>
      <x:c r="J70" t="str">
        <x:v>conditional - scoring rubric</x:v>
      </x:c>
      <x:c r="K70" t="str">
        <x:v>Do not compare raw sum across differing rubrics</x:v>
      </x:c>
    </x:row>
    <x:row r="71">
      <x:c r="A71" t="str">
        <x:v>ETH-069</x:v>
      </x:c>
      <x:c r="B71" t="n">
        <x:v>69</x:v>
      </x:c>
      <x:c r="C71" t="str">
        <x:v>Medicinal Application Value</x:v>
      </x:c>
      <x:c r="D71" t="str">
        <x:v>MAV</x:v>
      </x:c>
      <x:c r="E71" t="str">
        <x:v>Medicinal versatility</x:v>
      </x:c>
      <x:c r="F71" t="str">
        <x:v>MAV_s = D_s / D_t</x:v>
      </x:c>
      <x:c r="G71" t="str">
        <x:v>D_s: distinct ICD chapters cited for species; D_t: total chapters in selected ICD version</x:v>
      </x:c>
      <x:c r="H71" t="str">
        <x:v>species,indication,ICD_chapter,ICD_version</x:v>
      </x:c>
      <x:c r="I71" t="str">
        <x:v>Example Corchorus: 2/20=0.10 not 0.01; Asparagus distinct codes 8,10,13,14,19 = 5/20=0.25; Tribulus 9,11,13,14 = 4/20=0.20</x:v>
      </x:c>
      <x:c r="J71" t="str">
        <x:v>ready for testing</x:v>
      </x:c>
      <x:c r="K71" t="str">
        <x:v>Fix ICD version and chapter universe; count unique chapters, not conditions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3" t="str">
        <x:v>EthnoQuant Batch 01</x:v>
      </x:c>
      <x:c r="B1" s="3" t="str">
        <x:v>Formula 1–10 | 2026-10-16</x:v>
      </x:c>
    </x:row>
    <x:row r="2">
      <x:c r="A2" t="str">
        <x:v>Scope</x:v>
      </x:c>
      <x:c r="B2" t="str">
        <x:v>Source-supplied equations, corrected arithmetic, and explicit implementation holds</x:v>
      </x:c>
    </x:row>
    <x:row r="3">
      <x:c r="A3" t="str">
        <x:v>Verified means</x:v>
      </x:c>
      <x:c r="B3" t="str">
        <x:v>Mathematical expression checked; NOT proof of external source attribution</x:v>
      </x:c>
    </x:row>
    <x:row r="4">
      <x:c r="A4" t="str">
        <x:v>Source limitation</x:v>
      </x:c>
      <x:c r="B4" t="str">
        <x:v>Several source equations lost in plaintext conversion</x:v>
      </x:c>
    </x:row>
    <x:row r="5">
      <x:c r="A5" t="str">
        <x:v>Important</x:v>
      </x:c>
      <x:c r="B5" t="str">
        <x:v>Do not activate ETH-003 or ETH-007 until source equation/denominator verified</x:v>
      </x:c>
    </x:row>
    <x:row r="6">
      <x:c r="A6" t="str">
        <x:v>Counting rules</x:v>
      </x:c>
      <x:c r="B6" t="str">
        <x:v>Use reports, distinct uses, unique informants and events are not interchangeable</x:v>
      </x:c>
    </x:row>
    <x:row r="7">
      <x:c r="A7" t="str">
        <x:v>Software testing</x:v>
      </x:c>
      <x:c r="B7" t="str">
        <x:v>Python reference checks performed; R runtime testing not available</x:v>
      </x:c>
    </x:row>
    <x:row r="8">
      <x:c r="A8" t="str">
        <x:v>Source</x:v>
      </x:c>
      <x:c r="B8" t="str">
        <x:v>Pasted text(20261016-073251).txt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" t="str">
        <x:v>species</x:v>
      </x:c>
      <x:c r="B1" s="3" t="str">
        <x:v>Respiration</x:v>
      </x:c>
      <x:c r="C1" s="3" t="str">
        <x:v>Digestion</x:v>
      </x:c>
      <x:c r="D1" s="3" t="str">
        <x:v>Reproduction</x:v>
      </x:c>
      <x:c r="E1" s="3" t="str">
        <x:v>Fever</x:v>
      </x:c>
      <x:c r="F1" s="3" t="str">
        <x:v>Blood and hematopoietic organs</x:v>
      </x:c>
      <x:c r="G1" s="3" t="str">
        <x:v>Central nervous system</x:v>
      </x:c>
    </x:row>
    <x:row r="2">
      <x:c r="A2" t="str">
        <x:v>Asparagus racemosus</x:v>
      </x:c>
      <x:c r="B2" t="n">
        <x:v>4</x:v>
      </x:c>
      <x:c r="C2" t="n">
        <x:v>4</x:v>
      </x:c>
      <x:c r="D2" t="n">
        <x:v>4</x:v>
      </x:c>
      <x:c r="E2" t="n">
        <x:v>0</x:v>
      </x:c>
      <x:c r="F2" t="n">
        <x:v>0</x:v>
      </x:c>
      <x:c r="G2" t="n">
        <x:v>2</x:v>
      </x:c>
    </x:row>
    <x:row r="3">
      <x:c r="A3" t="str">
        <x:v>Boswellia serrata</x:v>
      </x:c>
      <x:c r="B3" t="n">
        <x:v>5</x:v>
      </x:c>
      <x:c r="C3" t="n">
        <x:v>5</x:v>
      </x:c>
      <x:c r="D3" t="n">
        <x:v>0</x:v>
      </x:c>
      <x:c r="E3" t="n">
        <x:v>0</x:v>
      </x:c>
      <x:c r="F3" t="n">
        <x:v>0</x:v>
      </x:c>
      <x:c r="G3" t="n">
        <x:v>0</x:v>
      </x:c>
    </x:row>
    <x:row r="4">
      <x:c r="A4" t="str">
        <x:v>Cocculus hirsutus</x:v>
      </x:c>
      <x:c r="B4" t="n">
        <x:v>3</x:v>
      </x:c>
      <x:c r="C4" t="n">
        <x:v>3</x:v>
      </x:c>
      <x:c r="D4" t="n">
        <x:v>2</x:v>
      </x:c>
      <x:c r="E4" t="n">
        <x:v>1</x:v>
      </x:c>
      <x:c r="F4" t="n">
        <x:v>1</x:v>
      </x:c>
      <x:c r="G4" t="n">
        <x:v>0</x:v>
      </x:c>
    </x:row>
    <x:row r="5">
      <x:c r="A5" t="str">
        <x:v>Cocculus pendulus</x:v>
      </x:c>
      <x:c r="B5" t="n">
        <x:v>0</x:v>
      </x:c>
      <x:c r="C5" t="n">
        <x:v>2</x:v>
      </x:c>
      <x:c r="D5" t="n">
        <x:v>0</x:v>
      </x:c>
      <x:c r="E5" t="n">
        <x:v>1</x:v>
      </x:c>
      <x:c r="F5" t="n">
        <x:v>1</x:v>
      </x:c>
      <x:c r="G5" t="n">
        <x:v>1</x:v>
      </x:c>
    </x:row>
    <x:row r="6">
      <x:c r="A6" t="str">
        <x:v>Commiphora wightii</x:v>
      </x:c>
      <x:c r="B6" t="n">
        <x:v>4</x:v>
      </x:c>
      <x:c r="C6" t="n">
        <x:v>1</x:v>
      </x:c>
      <x:c r="D6" t="n">
        <x:v>4</x:v>
      </x:c>
      <x:c r="E6" t="n">
        <x:v>0</x:v>
      </x:c>
      <x:c r="F6" t="n">
        <x:v>4</x:v>
      </x:c>
      <x:c r="G6" t="n">
        <x:v>0</x:v>
      </x:c>
    </x:row>
    <x:row r="7">
      <x:c r="A7" t="str">
        <x:v>Moringa oleifera</x:v>
      </x:c>
      <x:c r="B7" t="n">
        <x:v>1</x:v>
      </x:c>
      <x:c r="C7" t="n">
        <x:v>1</x:v>
      </x:c>
      <x:c r="D7" t="n">
        <x:v>1</x:v>
      </x:c>
      <x:c r="E7" t="n">
        <x:v>0</x:v>
      </x:c>
      <x:c r="F7" t="n">
        <x:v>1</x:v>
      </x:c>
      <x:c r="G7" t="n">
        <x:v>3</x:v>
      </x:c>
    </x:row>
    <x:row r="8">
      <x:c r="A8" t="str">
        <x:v>Salvadora oleoides</x:v>
      </x:c>
      <x:c r="B8" t="n">
        <x:v>2</x:v>
      </x:c>
      <x:c r="C8" t="n">
        <x:v>0</x:v>
      </x:c>
      <x:c r="D8" t="n">
        <x:v>0</x:v>
      </x:c>
      <x:c r="E8" t="n">
        <x:v>3</x:v>
      </x:c>
      <x:c r="F8" t="n">
        <x:v>4</x:v>
      </x:c>
      <x:c r="G8" t="n">
        <x:v>0</x:v>
      </x:c>
    </x:row>
    <x:row r="9">
      <x:c r="A9" t="str">
        <x:v>Salvadora persica</x:v>
      </x:c>
      <x:c r="B9" t="n">
        <x:v>2</x:v>
      </x:c>
      <x:c r="C9" t="n">
        <x:v>4</x:v>
      </x:c>
      <x:c r="D9" t="n">
        <x:v>1</x:v>
      </x:c>
      <x:c r="E9" t="n">
        <x:v>2</x:v>
      </x:c>
      <x:c r="F9" t="n">
        <x:v>0</x:v>
      </x:c>
      <x:c r="G9" t="n">
        <x:v>1</x:v>
      </x:c>
    </x:row>
    <x:row r="10">
      <x:c r="A10" t="str">
        <x:v>Tinospora cordifolia</x:v>
      </x:c>
      <x:c r="B10" t="n">
        <x:v>0</x:v>
      </x:c>
      <x:c r="C10" t="n">
        <x:v>3</x:v>
      </x:c>
      <x:c r="D10" t="n">
        <x:v>0</x:v>
      </x:c>
      <x:c r="E10" t="n">
        <x:v>3</x:v>
      </x:c>
      <x:c r="F10" t="n">
        <x:v>1</x:v>
      </x:c>
      <x:c r="G10" t="n">
        <x:v>1</x:v>
      </x:c>
    </x:row>
    <x:row r="11">
      <x:c r="A11" t="str">
        <x:v>Urginea indica</x:v>
      </x:c>
      <x:c r="B11" t="n">
        <x:v>3</x:v>
      </x:c>
      <x:c r="C11" t="n">
        <x:v>1</x:v>
      </x:c>
      <x:c r="D11" t="n">
        <x:v>0</x:v>
      </x:c>
      <x:c r="E11" t="n">
        <x:v>0</x:v>
      </x:c>
      <x:c r="F11" t="n">
        <x:v>0</x:v>
      </x:c>
      <x:c r="G11" t="n">
        <x:v>0</x:v>
      </x:c>
    </x:row>
    <x:row r="12">
      <x:c r="A12" t="str">
        <x:v>Clerodendrum phlomoides</x:v>
      </x:c>
      <x:c r="B12" t="n">
        <x:v>0</x:v>
      </x:c>
      <x:c r="C12" t="n">
        <x:v>5</x:v>
      </x:c>
      <x:c r="D12" t="n">
        <x:v>0</x:v>
      </x:c>
      <x:c r="E12" t="n">
        <x:v>1</x:v>
      </x:c>
      <x:c r="F12" t="n">
        <x:v>0</x:v>
      </x:c>
      <x:c r="G12" t="n">
        <x:v>0</x:v>
      </x:c>
    </x:row>
    <x:row r="13">
      <x:c r="A13" t="str">
        <x:v>Bouchea</x:v>
      </x:c>
      <x:c r="B13" t="n">
        <x:v>0</x:v>
      </x:c>
      <x:c r="C13" t="n">
        <x:v>1</x:v>
      </x:c>
      <x:c r="D13" t="n">
        <x:v>0</x:v>
      </x:c>
      <x:c r="E13" t="n">
        <x:v>0</x:v>
      </x:c>
      <x:c r="F13" t="n">
        <x:v>0</x:v>
      </x:c>
      <x:c r="G13" t="n">
        <x:v>0</x:v>
      </x:c>
    </x:row>
    <x:row r="14">
      <x:c r="A14" t="str">
        <x:v>Phyla nodiflora</x:v>
      </x:c>
      <x:c r="B14" t="n">
        <x:v>1</x:v>
      </x:c>
      <x:c r="C14" t="n">
        <x:v>1</x:v>
      </x:c>
      <x:c r="D14" t="n">
        <x:v>1</x:v>
      </x:c>
      <x:c r="E14" t="n">
        <x:v>1</x:v>
      </x:c>
      <x:c r="F14" t="n">
        <x:v>2</x:v>
      </x:c>
      <x:c r="G14" t="n">
        <x:v>0</x:v>
      </x:c>
    </x:row>
    <x:row r="15">
      <x:c r="A15" t="str">
        <x:v>Moringa concanensis</x:v>
      </x:c>
      <x:c r="B15" t="n">
        <x:v>2</x:v>
      </x:c>
      <x:c r="C15" t="n">
        <x:v>1</x:v>
      </x:c>
      <x:c r="D15" t="n">
        <x:v>2</x:v>
      </x:c>
      <x:c r="E15" t="n">
        <x:v>1</x:v>
      </x:c>
      <x:c r="F15" t="n">
        <x:v>1</x:v>
      </x:c>
      <x:c r="G15" t="n">
        <x:v>3</x:v>
      </x:c>
    </x:row>
    <x:row r="16">
      <x:c r="A16" t="str">
        <x:v>Asphodelus tenuifolius</x:v>
      </x:c>
      <x:c r="B16" t="n">
        <x:v>0</x:v>
      </x:c>
      <x:c r="C16" t="n">
        <x:v>2</x:v>
      </x:c>
      <x:c r="D16" t="n">
        <x:v>0</x:v>
      </x:c>
      <x:c r="E16" t="n">
        <x:v>1</x:v>
      </x:c>
      <x:c r="F16" t="n">
        <x:v>0</x:v>
      </x:c>
      <x:c r="G16" t="n">
        <x:v>2</x:v>
      </x:c>
    </x:row>
    <x:row r="18">
      <x:c r="A18" s="3" t="str">
        <x:v>Category</x:v>
      </x:c>
      <x:c r="B18" s="3" t="str">
        <x:v>Nur</x:v>
      </x:c>
      <x:c r="C18" s="3" t="str">
        <x:v>Nt</x:v>
      </x:c>
      <x:c r="D18" s="3" t="str">
        <x:v>Correct FIC</x:v>
      </x:c>
    </x:row>
    <x:row r="19">
      <x:c r="A19" t="str">
        <x:v>Respiration</x:v>
      </x:c>
      <x:c r="B19" t="n">
        <x:v>27</x:v>
      </x:c>
      <x:c r="C19" t="n">
        <x:v>10</x:v>
      </x:c>
      <x:c r="D19" t="n">
        <x:v>0.653846</x:v>
      </x:c>
    </x:row>
    <x:row r="20">
      <x:c r="A20" t="str">
        <x:v>Digestion</x:v>
      </x:c>
      <x:c r="B20" t="n">
        <x:v>34</x:v>
      </x:c>
      <x:c r="C20" t="n">
        <x:v>14</x:v>
      </x:c>
      <x:c r="D20" t="n">
        <x:v>0.606061</x:v>
      </x:c>
    </x:row>
    <x:row r="21">
      <x:c r="A21" t="str">
        <x:v>Reproduction</x:v>
      </x:c>
      <x:c r="B21" t="n">
        <x:v>15</x:v>
      </x:c>
      <x:c r="C21" t="n">
        <x:v>7</x:v>
      </x:c>
      <x:c r="D21" t="n">
        <x:v>0.571429</x:v>
      </x:c>
    </x:row>
    <x:row r="22">
      <x:c r="A22" t="str">
        <x:v>Fever</x:v>
      </x:c>
      <x:c r="B22" t="n">
        <x:v>14</x:v>
      </x:c>
      <x:c r="C22" t="n">
        <x:v>9</x:v>
      </x:c>
      <x:c r="D22" t="n">
        <x:v>0.384615</x:v>
      </x:c>
    </x:row>
    <x:row r="23">
      <x:c r="A23" t="str">
        <x:v>Blood and hematopoietic organs</x:v>
      </x:c>
      <x:c r="B23" t="n">
        <x:v>15</x:v>
      </x:c>
      <x:c r="C23" t="n">
        <x:v>8</x:v>
      </x:c>
      <x:c r="D23" t="n">
        <x:v>0.5</x:v>
      </x:c>
    </x:row>
    <x:row r="24">
      <x:c r="A24" t="str">
        <x:v>Central nervous system</x:v>
      </x:c>
      <x:c r="B24" t="n">
        <x:v>13</x:v>
      </x:c>
      <x:c r="C24" t="n">
        <x:v>7</x:v>
      </x:c>
      <x:c r="D24" t="n">
        <x:v>0.5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No</x:v>
      </x:c>
      <x:c r="B1" s="3" t="str">
        <x:v>Species</x:v>
      </x:c>
      <x:c r="C1" s="3" t="str">
        <x:v>PH</x:v>
      </x:c>
      <x:c r="D1" s="3" t="str">
        <x:v>BS</x:v>
      </x:c>
      <x:c r="E1" s="3" t="str">
        <x:v>Source RI %</x:v>
      </x:c>
      <x:c r="F1" s="3" t="str">
        <x:v>Recomputed RI %</x:v>
      </x:c>
      <x:c r="G1" s="3" t="str">
        <x:v>Difference</x:v>
      </x:c>
      <x:c r="H1" s="3" t="str">
        <x:v>Review</x:v>
      </x:c>
    </x:row>
    <x:row r="2">
      <x:c r="A2" t="n">
        <x:v>1</x:v>
      </x:c>
      <x:c r="B2" t="str">
        <x:v>Abrus precatorius L.</x:v>
      </x:c>
      <x:c r="C2" t="n">
        <x:v>17</x:v>
      </x:c>
      <x:c r="D2" t="n">
        <x:v>8</x:v>
      </x:c>
      <x:c r="E2" t="n">
        <x:v>61.7</x:v>
      </x:c>
      <x:c r="F2" t="n">
        <x:v>61.6667</x:v>
      </x:c>
      <x:c r="G2" t="n">
        <x:v>0.0333</x:v>
      </x:c>
      <x:c r="H2" t="str">
        <x:v>OK</x:v>
      </x:c>
    </x:row>
    <x:row r="3">
      <x:c r="A3" t="n">
        <x:v>2</x:v>
      </x:c>
      <x:c r="B3" t="str">
        <x:v>Abutilon indicum (L.) Sweet </x:v>
      </x:c>
      <x:c r="C3" t="n">
        <x:v>18</x:v>
      </x:c>
      <x:c r="D3" t="n">
        <x:v>9</x:v>
      </x:c>
      <x:c r="E3" t="n">
        <x:v>67.5</x:v>
      </x:c>
      <x:c r="F3" t="n">
        <x:v>67.5</x:v>
      </x:c>
      <x:c r="G3" t="n">
        <x:v>0</x:v>
      </x:c>
      <x:c r="H3" t="str">
        <x:v>OK</x:v>
      </x:c>
    </x:row>
    <x:row r="4">
      <x:c r="A4" t="n">
        <x:v>3</x:v>
      </x:c>
      <x:c r="B4" t="str">
        <x:v>Acacia nilotica L.</x:v>
      </x:c>
      <x:c r="C4" t="n">
        <x:v>13</x:v>
      </x:c>
      <x:c r="D4" t="n">
        <x:v>6</x:v>
      </x:c>
      <x:c r="E4" t="n">
        <x:v>46.7</x:v>
      </x:c>
      <x:c r="F4" t="n">
        <x:v>46.6667</x:v>
      </x:c>
      <x:c r="G4" t="n">
        <x:v>0.0333</x:v>
      </x:c>
      <x:c r="H4" t="str">
        <x:v>OK</x:v>
      </x:c>
    </x:row>
    <x:row r="5">
      <x:c r="A5" t="n">
        <x:v>4</x:v>
      </x:c>
      <x:c r="B5" t="str">
        <x:v>Acacia senegal Willd.</x:v>
      </x:c>
      <x:c r="C5" t="n">
        <x:v>9</x:v>
      </x:c>
      <x:c r="D5" t="n">
        <x:v>6</x:v>
      </x:c>
      <x:c r="E5" t="n">
        <x:v>40</x:v>
      </x:c>
      <x:c r="F5" t="n">
        <x:v>40</x:v>
      </x:c>
      <x:c r="G5" t="n">
        <x:v>0</x:v>
      </x:c>
      <x:c r="H5" t="str">
        <x:v>OK</x:v>
      </x:c>
    </x:row>
    <x:row r="6">
      <x:c r="A6" t="n">
        <x:v>5</x:v>
      </x:c>
      <x:c r="B6" t="str">
        <x:v>Achyranthies aspera L. </x:v>
      </x:c>
      <x:c r="C6" t="n">
        <x:v>28</x:v>
      </x:c>
      <x:c r="D6" t="n">
        <x:v>9</x:v>
      </x:c>
      <x:c r="E6" t="n">
        <x:v>84.2</x:v>
      </x:c>
      <x:c r="F6" t="n">
        <x:v>84.1667</x:v>
      </x:c>
      <x:c r="G6" t="n">
        <x:v>0.0333</x:v>
      </x:c>
      <x:c r="H6" t="str">
        <x:v>OK</x:v>
      </x:c>
    </x:row>
    <x:row r="7">
      <x:c r="A7" t="n">
        <x:v>6</x:v>
      </x:c>
      <x:c r="B7" t="str">
        <x:v>Adhatoda vasica Nees</x:v>
      </x:c>
      <x:c r="C7" t="n">
        <x:v>14</x:v>
      </x:c>
      <x:c r="D7" t="n">
        <x:v>5</x:v>
      </x:c>
      <x:c r="E7" t="n">
        <x:v>44.2</x:v>
      </x:c>
      <x:c r="F7" t="n">
        <x:v>44.1667</x:v>
      </x:c>
      <x:c r="G7" t="n">
        <x:v>0.0333</x:v>
      </x:c>
      <x:c r="H7" t="str">
        <x:v>OK</x:v>
      </x:c>
    </x:row>
    <x:row r="8">
      <x:c r="A8" t="n">
        <x:v>7</x:v>
      </x:c>
      <x:c r="B8" t="str">
        <x:v>Aegle marmelos Correa ex Koen.</x:v>
      </x:c>
      <x:c r="C8" t="n">
        <x:v>15</x:v>
      </x:c>
      <x:c r="D8" t="n">
        <x:v>8</x:v>
      </x:c>
      <x:c r="E8" t="n">
        <x:v>58.3</x:v>
      </x:c>
      <x:c r="F8" t="n">
        <x:v>58.3333</x:v>
      </x:c>
      <x:c r="G8" t="n">
        <x:v>-0.0333</x:v>
      </x:c>
      <x:c r="H8" t="str">
        <x:v>OK</x:v>
      </x:c>
    </x:row>
    <x:row r="9">
      <x:c r="A9" t="n">
        <x:v>8</x:v>
      </x:c>
      <x:c r="B9" t="str">
        <x:v>Argemone mexicana L.</x:v>
      </x:c>
      <x:c r="C9" t="n">
        <x:v>19</x:v>
      </x:c>
      <x:c r="D9" t="n">
        <x:v>6</x:v>
      </x:c>
      <x:c r="E9" t="n">
        <x:v>56.7</x:v>
      </x:c>
      <x:c r="F9" t="n">
        <x:v>56.6667</x:v>
      </x:c>
      <x:c r="G9" t="n">
        <x:v>0.0333</x:v>
      </x:c>
      <x:c r="H9" t="str">
        <x:v>OK</x:v>
      </x:c>
    </x:row>
    <x:row r="10">
      <x:c r="A10" t="n">
        <x:v>9</x:v>
      </x:c>
      <x:c r="B10" t="str">
        <x:v>Albizia lebbeck Benth.</x:v>
      </x:c>
      <x:c r="C10" t="n">
        <x:v>12</x:v>
      </x:c>
      <x:c r="D10" t="n">
        <x:v>5</x:v>
      </x:c>
      <x:c r="E10" t="n">
        <x:v>40.8</x:v>
      </x:c>
      <x:c r="F10" t="n">
        <x:v>40.8333</x:v>
      </x:c>
      <x:c r="G10" t="n">
        <x:v>-0.0333</x:v>
      </x:c>
      <x:c r="H10" t="str">
        <x:v>OK</x:v>
      </x:c>
    </x:row>
    <x:row r="11">
      <x:c r="A11" t="n">
        <x:v>10</x:v>
      </x:c>
      <x:c r="B11" t="str">
        <x:v>Aloe vera Mill.</x:v>
      </x:c>
      <x:c r="C11" t="n">
        <x:v>24</x:v>
      </x:c>
      <x:c r="D11" t="n">
        <x:v>12</x:v>
      </x:c>
      <x:c r="E11" t="n">
        <x:v>90</x:v>
      </x:c>
      <x:c r="F11" t="n">
        <x:v>90</x:v>
      </x:c>
      <x:c r="G11" t="n">
        <x:v>0</x:v>
      </x:c>
      <x:c r="H11" t="str">
        <x:v>OK</x:v>
      </x:c>
    </x:row>
    <x:row r="12">
      <x:c r="A12" t="n">
        <x:v>11</x:v>
      </x:c>
      <x:c r="B12" t="str">
        <x:v>Amaranthus spinosus L.</x:v>
      </x:c>
      <x:c r="C12" t="n">
        <x:v>15</x:v>
      </x:c>
      <x:c r="D12" t="n">
        <x:v>9</x:v>
      </x:c>
      <x:c r="E12" t="n">
        <x:v>62.5</x:v>
      </x:c>
      <x:c r="F12" t="n">
        <x:v>62.5</x:v>
      </x:c>
      <x:c r="G12" t="n">
        <x:v>0</x:v>
      </x:c>
      <x:c r="H12" t="str">
        <x:v>OK</x:v>
      </x:c>
    </x:row>
    <x:row r="13">
      <x:c r="A13" t="n">
        <x:v>12</x:v>
      </x:c>
      <x:c r="B13" t="str">
        <x:v>Andrographis paniculata Wall. ex Nees</x:v>
      </x:c>
      <x:c r="C13" t="n">
        <x:v>10</x:v>
      </x:c>
      <x:c r="D13" t="n">
        <x:v>8</x:v>
      </x:c>
      <x:c r="E13" t="n">
        <x:v>50</x:v>
      </x:c>
      <x:c r="F13" t="n">
        <x:v>50</x:v>
      </x:c>
      <x:c r="G13" t="n">
        <x:v>0</x:v>
      </x:c>
      <x:c r="H13" t="str">
        <x:v>OK</x:v>
      </x:c>
    </x:row>
    <x:row r="14">
      <x:c r="A14" t="n">
        <x:v>13</x:v>
      </x:c>
      <x:c r="B14" t="str">
        <x:v>Anogeissus pendula Edgew.</x:v>
      </x:c>
      <x:c r="C14" t="n">
        <x:v>10</x:v>
      </x:c>
      <x:c r="D14" t="n">
        <x:v>6</x:v>
      </x:c>
      <x:c r="E14" t="n">
        <x:v>41.7</x:v>
      </x:c>
      <x:c r="F14" t="n">
        <x:v>41.6667</x:v>
      </x:c>
      <x:c r="G14" t="n">
        <x:v>0.0333</x:v>
      </x:c>
      <x:c r="H14" t="str">
        <x:v>OK</x:v>
      </x:c>
    </x:row>
    <x:row r="15">
      <x:c r="A15" t="n">
        <x:v>14</x:v>
      </x:c>
      <x:c r="B15" t="str">
        <x:v>Argyreia nervosa (Brum. f.) Boj.</x:v>
      </x:c>
      <x:c r="C15" t="n">
        <x:v>7</x:v>
      </x:c>
      <x:c r="D15" t="n">
        <x:v>6</x:v>
      </x:c>
      <x:c r="E15" t="n">
        <x:v>36.7</x:v>
      </x:c>
      <x:c r="F15" t="n">
        <x:v>36.6667</x:v>
      </x:c>
      <x:c r="G15" t="n">
        <x:v>0.0333</x:v>
      </x:c>
      <x:c r="H15" t="str">
        <x:v>OK</x:v>
      </x:c>
    </x:row>
    <x:row r="16">
      <x:c r="A16" t="n">
        <x:v>15</x:v>
      </x:c>
      <x:c r="B16" t="str">
        <x:v>Aristolochia bracteata Retz.</x:v>
      </x:c>
      <x:c r="C16" t="n">
        <x:v>10</x:v>
      </x:c>
      <x:c r="D16" t="n">
        <x:v>5</x:v>
      </x:c>
      <x:c r="E16" t="n">
        <x:v>37.5</x:v>
      </x:c>
      <x:c r="F16" t="n">
        <x:v>37.5</x:v>
      </x:c>
      <x:c r="G16" t="n">
        <x:v>0</x:v>
      </x:c>
      <x:c r="H16" t="str">
        <x:v>OK</x:v>
      </x:c>
    </x:row>
    <x:row r="17">
      <x:c r="A17" t="n">
        <x:v>16</x:v>
      </x:c>
      <x:c r="B17" t="str">
        <x:v>Artemisia annua L. </x:v>
      </x:c>
      <x:c r="C17" t="n">
        <x:v>3</x:v>
      </x:c>
      <x:c r="D17" t="n">
        <x:v>2</x:v>
      </x:c>
      <x:c r="E17" t="n">
        <x:v>13.3</x:v>
      </x:c>
      <x:c r="F17" t="n">
        <x:v>13.3333</x:v>
      </x:c>
      <x:c r="G17" t="n">
        <x:v>-0.0333</x:v>
      </x:c>
      <x:c r="H17" t="str">
        <x:v>OK</x:v>
      </x:c>
    </x:row>
    <x:row r="18">
      <x:c r="A18" t="n">
        <x:v>17</x:v>
      </x:c>
      <x:c r="B18" t="str">
        <x:v>Asparagus racemosusWilld.</x:v>
      </x:c>
      <x:c r="C18" t="n">
        <x:v>22</x:v>
      </x:c>
      <x:c r="D18" t="n">
        <x:v>8</x:v>
      </x:c>
      <x:c r="E18" t="n">
        <x:v>70</x:v>
      </x:c>
      <x:c r="F18" t="n">
        <x:v>70</x:v>
      </x:c>
      <x:c r="G18" t="n">
        <x:v>0</x:v>
      </x:c>
      <x:c r="H18" t="str">
        <x:v>OK</x:v>
      </x:c>
    </x:row>
    <x:row r="19">
      <x:c r="A19" t="n">
        <x:v>18</x:v>
      </x:c>
      <x:c r="B19" t="str">
        <x:v>Azadirachta indica A. Juss. </x:v>
      </x:c>
      <x:c r="C19" t="n">
        <x:v>30</x:v>
      </x:c>
      <x:c r="D19" t="n">
        <x:v>8</x:v>
      </x:c>
      <x:c r="E19" t="n">
        <x:v>83.3</x:v>
      </x:c>
      <x:c r="F19" t="n">
        <x:v>83.3333</x:v>
      </x:c>
      <x:c r="G19" t="n">
        <x:v>-0.0333</x:v>
      </x:c>
      <x:c r="H19" t="str">
        <x:v>OK</x:v>
      </x:c>
    </x:row>
    <x:row r="20">
      <x:c r="A20" t="n">
        <x:v>19</x:v>
      </x:c>
      <x:c r="B20" t="str">
        <x:v>Balanites aegyptiaca (L.) Delile</x:v>
      </x:c>
      <x:c r="C20" t="n">
        <x:v>12</x:v>
      </x:c>
      <x:c r="D20" t="n">
        <x:v>5</x:v>
      </x:c>
      <x:c r="E20" t="n">
        <x:v>40.8</x:v>
      </x:c>
      <x:c r="F20" t="n">
        <x:v>40.8333</x:v>
      </x:c>
      <x:c r="G20" t="n">
        <x:v>-0.0333</x:v>
      </x:c>
      <x:c r="H20" t="str">
        <x:v>OK</x:v>
      </x:c>
    </x:row>
    <x:row r="21">
      <x:c r="A21" t="n">
        <x:v>20</x:v>
      </x:c>
      <x:c r="B21" t="str">
        <x:v>Barleria acanthoides Vahl.</x:v>
      </x:c>
      <x:c r="C21" t="n">
        <x:v>2</x:v>
      </x:c>
      <x:c r="D21" t="n">
        <x:v>1</x:v>
      </x:c>
      <x:c r="E21" t="n">
        <x:v>7.5</x:v>
      </x:c>
      <x:c r="F21" t="n">
        <x:v>7.5</x:v>
      </x:c>
      <x:c r="G21" t="n">
        <x:v>0</x:v>
      </x:c>
      <x:c r="H21" t="str">
        <x:v>OK</x:v>
      </x:c>
    </x:row>
    <x:row r="22">
      <x:c r="A22" t="n">
        <x:v>21</x:v>
      </x:c>
      <x:c r="B22" t="str">
        <x:v>Barleria prionitis L.</x:v>
      </x:c>
      <x:c r="C22" t="n">
        <x:v>12</x:v>
      </x:c>
      <x:c r="D22" t="n">
        <x:v>4</x:v>
      </x:c>
      <x:c r="E22" t="n">
        <x:v>36.7</x:v>
      </x:c>
      <x:c r="F22" t="n">
        <x:v>36.6667</x:v>
      </x:c>
      <x:c r="G22" t="n">
        <x:v>0.0333</x:v>
      </x:c>
      <x:c r="H22" t="str">
        <x:v>OK</x:v>
      </x:c>
    </x:row>
    <x:row r="23">
      <x:c r="A23" t="n">
        <x:v>22</x:v>
      </x:c>
      <x:c r="B23" t="str">
        <x:v>Blepharis edulis Forssk.</x:v>
      </x:c>
      <x:c r="C23" t="n">
        <x:v>2</x:v>
      </x:c>
      <x:c r="D23" t="n">
        <x:v>2</x:v>
      </x:c>
      <x:c r="E23" t="n">
        <x:v>11.7</x:v>
      </x:c>
      <x:c r="F23" t="n">
        <x:v>11.6667</x:v>
      </x:c>
      <x:c r="G23" t="n">
        <x:v>0.0333</x:v>
      </x:c>
      <x:c r="H23" t="str">
        <x:v>OK</x:v>
      </x:c>
    </x:row>
    <x:row r="24">
      <x:c r="A24" t="n">
        <x:v>23</x:v>
      </x:c>
      <x:c r="B24" t="str">
        <x:v>Blepharis sindica Stocks ex T. Anders</x:v>
      </x:c>
      <x:c r="C24" t="n">
        <x:v>10</x:v>
      </x:c>
      <x:c r="D24" t="n">
        <x:v>8</x:v>
      </x:c>
      <x:c r="E24" t="n">
        <x:v>50</x:v>
      </x:c>
      <x:c r="F24" t="n">
        <x:v>50</x:v>
      </x:c>
      <x:c r="G24" t="n">
        <x:v>0</x:v>
      </x:c>
      <x:c r="H24" t="str">
        <x:v>OK</x:v>
      </x:c>
    </x:row>
    <x:row r="25">
      <x:c r="A25" t="n">
        <x:v>24</x:v>
      </x:c>
      <x:c r="B25" t="str">
        <x:v>Boerhavia diffusa L.</x:v>
      </x:c>
      <x:c r="C25" t="n">
        <x:v>22</x:v>
      </x:c>
      <x:c r="D25" t="n">
        <x:v>10</x:v>
      </x:c>
      <x:c r="E25" t="n">
        <x:v>78.3</x:v>
      </x:c>
      <x:c r="F25" t="n">
        <x:v>78.3333</x:v>
      </x:c>
      <x:c r="G25" t="n">
        <x:v>-0.0333</x:v>
      </x:c>
      <x:c r="H25" t="str">
        <x:v>OK</x:v>
      </x:c>
    </x:row>
    <x:row r="26">
      <x:c r="A26" t="n">
        <x:v>25</x:v>
      </x:c>
      <x:c r="B26" t="str">
        <x:v>Boswellia serrata Roxb.</x:v>
      </x:c>
      <x:c r="C26" t="n">
        <x:v>18</x:v>
      </x:c>
      <x:c r="D26" t="n">
        <x:v>5</x:v>
      </x:c>
      <x:c r="E26" t="n">
        <x:v>50.8</x:v>
      </x:c>
      <x:c r="F26" t="n">
        <x:v>50.8333</x:v>
      </x:c>
      <x:c r="G26" t="n">
        <x:v>-0.0333</x:v>
      </x:c>
      <x:c r="H26" t="str">
        <x:v>OK</x:v>
      </x:c>
    </x:row>
    <x:row r="27">
      <x:c r="A27" t="n">
        <x:v>26</x:v>
      </x:c>
      <x:c r="B27" t="str">
        <x:v>Butea monosperma (Lam.) Kuntze</x:v>
      </x:c>
      <x:c r="C27" t="n">
        <x:v>14</x:v>
      </x:c>
      <x:c r="D27" t="n">
        <x:v>8</x:v>
      </x:c>
      <x:c r="E27" t="n">
        <x:v>56.7</x:v>
      </x:c>
      <x:c r="F27" t="n">
        <x:v>56.6667</x:v>
      </x:c>
      <x:c r="G27" t="n">
        <x:v>0.0333</x:v>
      </x:c>
      <x:c r="H27" t="str">
        <x:v>OK</x:v>
      </x:c>
    </x:row>
    <x:row r="28">
      <x:c r="A28" t="n">
        <x:v>27</x:v>
      </x:c>
      <x:c r="B28" t="str">
        <x:v>Calligonum polygonoides L.</x:v>
      </x:c>
      <x:c r="C28" t="n">
        <x:v>4</x:v>
      </x:c>
      <x:c r="D28" t="n">
        <x:v>4</x:v>
      </x:c>
      <x:c r="E28" t="n">
        <x:v>23.3</x:v>
      </x:c>
      <x:c r="F28" t="n">
        <x:v>23.3333</x:v>
      </x:c>
      <x:c r="G28" t="n">
        <x:v>-0.0333</x:v>
      </x:c>
      <x:c r="H28" t="str">
        <x:v>OK</x:v>
      </x:c>
    </x:row>
    <x:row r="29">
      <x:c r="A29" t="n">
        <x:v>28</x:v>
      </x:c>
      <x:c r="B29" t="str">
        <x:v>Calotropis procera (Ait.) R. Br.</x:v>
      </x:c>
      <x:c r="C29" t="n">
        <x:v>16</x:v>
      </x:c>
      <x:c r="D29" t="n">
        <x:v>6</x:v>
      </x:c>
      <x:c r="E29" t="n">
        <x:v>51.7</x:v>
      </x:c>
      <x:c r="F29" t="n">
        <x:v>51.6667</x:v>
      </x:c>
      <x:c r="G29" t="n">
        <x:v>0.0333</x:v>
      </x:c>
      <x:c r="H29" t="str">
        <x:v>OK</x:v>
      </x:c>
    </x:row>
    <x:row r="30">
      <x:c r="A30" t="n">
        <x:v>29</x:v>
      </x:c>
      <x:c r="B30" t="str">
        <x:v>Capparis decidua Edgew. </x:v>
      </x:c>
      <x:c r="C30" t="n">
        <x:v>9</x:v>
      </x:c>
      <x:c r="D30" t="n">
        <x:v>5</x:v>
      </x:c>
      <x:c r="E30" t="n">
        <x:v>35.8</x:v>
      </x:c>
      <x:c r="F30" t="n">
        <x:v>35.8333</x:v>
      </x:c>
      <x:c r="G30" t="n">
        <x:v>-0.0333</x:v>
      </x:c>
      <x:c r="H30" t="str">
        <x:v>OK</x:v>
      </x:c>
    </x:row>
    <x:row r="31">
      <x:c r="A31" t="n">
        <x:v>30</x:v>
      </x:c>
      <x:c r="B31" t="str">
        <x:v>Cardiospermum halicacabum L.</x:v>
      </x:c>
      <x:c r="C31" t="n">
        <x:v>11</x:v>
      </x:c>
      <x:c r="D31" t="n">
        <x:v>7</x:v>
      </x:c>
      <x:c r="E31" t="n">
        <x:v>47.5</x:v>
      </x:c>
      <x:c r="F31" t="n">
        <x:v>47.5</x:v>
      </x:c>
      <x:c r="G31" t="n">
        <x:v>0</x:v>
      </x:c>
      <x:c r="H31" t="str">
        <x:v>OK</x:v>
      </x:c>
    </x:row>
    <x:row r="32">
      <x:c r="A32" t="n">
        <x:v>31</x:v>
      </x:c>
      <x:c r="B32" t="str">
        <x:v>Cassia angustifolia Vahl</x:v>
      </x:c>
      <x:c r="C32" t="n">
        <x:v>11</x:v>
      </x:c>
      <x:c r="D32" t="n">
        <x:v>4</x:v>
      </x:c>
      <x:c r="E32" t="n">
        <x:v>35</x:v>
      </x:c>
      <x:c r="F32" t="n">
        <x:v>35</x:v>
      </x:c>
      <x:c r="G32" t="n">
        <x:v>0</x:v>
      </x:c>
      <x:c r="H32" t="str">
        <x:v>OK</x:v>
      </x:c>
    </x:row>
    <x:row r="33">
      <x:c r="A33" t="n">
        <x:v>32</x:v>
      </x:c>
      <x:c r="B33" t="str">
        <x:v>Cassia fistula L.</x:v>
      </x:c>
      <x:c r="C33" t="n">
        <x:v>17</x:v>
      </x:c>
      <x:c r="D33" t="n">
        <x:v>7</x:v>
      </x:c>
      <x:c r="E33" t="n">
        <x:v>57.5</x:v>
      </x:c>
      <x:c r="F33" t="n">
        <x:v>57.5</x:v>
      </x:c>
      <x:c r="G33" t="n">
        <x:v>0</x:v>
      </x:c>
      <x:c r="H33" t="str">
        <x:v>OK</x:v>
      </x:c>
    </x:row>
    <x:row r="34">
      <x:c r="A34" t="n">
        <x:v>33</x:v>
      </x:c>
      <x:c r="B34" t="str">
        <x:v>Cassia occidentalis L.</x:v>
      </x:c>
      <x:c r="C34" t="n">
        <x:v>10</x:v>
      </x:c>
      <x:c r="D34" t="n">
        <x:v>5</x:v>
      </x:c>
      <x:c r="E34" t="n">
        <x:v>37.5</x:v>
      </x:c>
      <x:c r="F34" t="n">
        <x:v>37.5</x:v>
      </x:c>
      <x:c r="G34" t="n">
        <x:v>0</x:v>
      </x:c>
      <x:c r="H34" t="str">
        <x:v>OK</x:v>
      </x:c>
    </x:row>
    <x:row r="35">
      <x:c r="A35" t="n">
        <x:v>34</x:v>
      </x:c>
      <x:c r="B35" t="str">
        <x:v>Catharanthus roseus G. Don</x:v>
      </x:c>
      <x:c r="C35" t="n">
        <x:v>10</x:v>
      </x:c>
      <x:c r="D35" t="n">
        <x:v>6</x:v>
      </x:c>
      <x:c r="E35" t="n">
        <x:v>41.7</x:v>
      </x:c>
      <x:c r="F35" t="n">
        <x:v>41.6667</x:v>
      </x:c>
      <x:c r="G35" t="n">
        <x:v>0.0333</x:v>
      </x:c>
      <x:c r="H35" t="str">
        <x:v>OK</x:v>
      </x:c>
    </x:row>
    <x:row r="36">
      <x:c r="A36" t="n">
        <x:v>35</x:v>
      </x:c>
      <x:c r="B36" t="str">
        <x:v>Celosia argentea L.</x:v>
      </x:c>
      <x:c r="C36" t="n">
        <x:v>5</x:v>
      </x:c>
      <x:c r="D36" t="n">
        <x:v>4</x:v>
      </x:c>
      <x:c r="E36" t="n">
        <x:v>25</x:v>
      </x:c>
      <x:c r="F36" t="n">
        <x:v>25</x:v>
      </x:c>
      <x:c r="G36" t="n">
        <x:v>0</x:v>
      </x:c>
      <x:c r="H36" t="str">
        <x:v>OK</x:v>
      </x:c>
    </x:row>
    <x:row r="37">
      <x:c r="A37" t="n">
        <x:v>36</x:v>
      </x:c>
      <x:c r="B37" t="str">
        <x:v>Chenopodium album L.</x:v>
      </x:c>
      <x:c r="C37" t="n">
        <x:v>14</x:v>
      </x:c>
      <x:c r="D37" t="n">
        <x:v>8</x:v>
      </x:c>
      <x:c r="E37" t="n">
        <x:v>56.7</x:v>
      </x:c>
      <x:c r="F37" t="n">
        <x:v>56.6667</x:v>
      </x:c>
      <x:c r="G37" t="n">
        <x:v>0.0333</x:v>
      </x:c>
      <x:c r="H37" t="str">
        <x:v>OK</x:v>
      </x:c>
    </x:row>
    <x:row r="38">
      <x:c r="A38" t="n">
        <x:v>37</x:v>
      </x:c>
      <x:c r="B38" t="str">
        <x:v>Chloris virgata Sw.</x:v>
      </x:c>
      <x:c r="C38" t="n">
        <x:v>4</x:v>
      </x:c>
      <x:c r="D38" t="n">
        <x:v>3</x:v>
      </x:c>
      <x:c r="E38" t="n">
        <x:v>19.2</x:v>
      </x:c>
      <x:c r="F38" t="n">
        <x:v>19.1667</x:v>
      </x:c>
      <x:c r="G38" t="n">
        <x:v>0.0333</x:v>
      </x:c>
      <x:c r="H38" t="str">
        <x:v>OK</x:v>
      </x:c>
    </x:row>
    <x:row r="39">
      <x:c r="A39" t="n">
        <x:v>38</x:v>
      </x:c>
      <x:c r="B39" t="str">
        <x:v>Cissus quadrangularis L.</x:v>
      </x:c>
      <x:c r="C39" t="n">
        <x:v>12</x:v>
      </x:c>
      <x:c r="D39" t="n">
        <x:v>6</x:v>
      </x:c>
      <x:c r="E39" t="n">
        <x:v>45</x:v>
      </x:c>
      <x:c r="F39" t="n">
        <x:v>45</x:v>
      </x:c>
      <x:c r="G39" t="n">
        <x:v>0</x:v>
      </x:c>
      <x:c r="H39" t="str">
        <x:v>OK</x:v>
      </x:c>
    </x:row>
    <x:row r="40">
      <x:c r="A40" t="n">
        <x:v>39</x:v>
      </x:c>
      <x:c r="B40" t="str">
        <x:v>Citrullus colocynthis Schrad. </x:v>
      </x:c>
      <x:c r="C40" t="n">
        <x:v>11</x:v>
      </x:c>
      <x:c r="D40" t="n">
        <x:v>6</x:v>
      </x:c>
      <x:c r="E40" t="n">
        <x:v>43.3</x:v>
      </x:c>
      <x:c r="F40" t="n">
        <x:v>43.3333</x:v>
      </x:c>
      <x:c r="G40" t="n">
        <x:v>-0.0333</x:v>
      </x:c>
      <x:c r="H40" t="str">
        <x:v>OK</x:v>
      </x:c>
    </x:row>
    <x:row r="41">
      <x:c r="A41" t="n">
        <x:v>40</x:v>
      </x:c>
      <x:c r="B41" t="str">
        <x:v>Citrullus lanatus Thunb. </x:v>
      </x:c>
      <x:c r="C41" t="n">
        <x:v>5</x:v>
      </x:c>
      <x:c r="D41" t="n">
        <x:v>4</x:v>
      </x:c>
      <x:c r="E41" t="n">
        <x:v>25</x:v>
      </x:c>
      <x:c r="F41" t="n">
        <x:v>25</x:v>
      </x:c>
      <x:c r="G41" t="n">
        <x:v>0</x:v>
      </x:c>
      <x:c r="H41" t="str">
        <x:v>OK</x:v>
      </x:c>
    </x:row>
    <x:row r="42">
      <x:c r="A42" t="n">
        <x:v>41</x:v>
      </x:c>
      <x:c r="B42" t="str">
        <x:v>Cleome viscosa L.</x:v>
      </x:c>
      <x:c r="C42" t="n">
        <x:v>12</x:v>
      </x:c>
      <x:c r="D42" t="n">
        <x:v>7</x:v>
      </x:c>
      <x:c r="E42" t="n">
        <x:v>49.2</x:v>
      </x:c>
      <x:c r="F42" t="n">
        <x:v>49.1667</x:v>
      </x:c>
      <x:c r="G42" t="n">
        <x:v>0.0333</x:v>
      </x:c>
      <x:c r="H42" t="str">
        <x:v>OK</x:v>
      </x:c>
    </x:row>
    <x:row r="43">
      <x:c r="A43" t="n">
        <x:v>42</x:v>
      </x:c>
      <x:c r="B43" t="str">
        <x:v>Clerodendrum phlomoides L.f.</x:v>
      </x:c>
      <x:c r="C43" t="n">
        <x:v>11</x:v>
      </x:c>
      <x:c r="D43" t="n">
        <x:v>6</x:v>
      </x:c>
      <x:c r="E43" t="n">
        <x:v>43.3</x:v>
      </x:c>
      <x:c r="F43" t="n">
        <x:v>43.3333</x:v>
      </x:c>
      <x:c r="G43" t="n">
        <x:v>-0.0333</x:v>
      </x:c>
      <x:c r="H43" t="str">
        <x:v>OK</x:v>
      </x:c>
    </x:row>
    <x:row r="44">
      <x:c r="A44" t="n">
        <x:v>43</x:v>
      </x:c>
      <x:c r="B44" t="str">
        <x:v>Cocculus hirsutus (L.) Diels</x:v>
      </x:c>
      <x:c r="C44" t="n">
        <x:v>12</x:v>
      </x:c>
      <x:c r="D44" t="n">
        <x:v>8</x:v>
      </x:c>
      <x:c r="E44" t="n">
        <x:v>53.3</x:v>
      </x:c>
      <x:c r="F44" t="n">
        <x:v>53.3333</x:v>
      </x:c>
      <x:c r="G44" t="n">
        <x:v>-0.0333</x:v>
      </x:c>
      <x:c r="H44" t="str">
        <x:v>OK</x:v>
      </x:c>
    </x:row>
    <x:row r="45">
      <x:c r="A45" t="n">
        <x:v>44</x:v>
      </x:c>
      <x:c r="B45" t="str">
        <x:v>Cocculus pendulus (Forsk.) Diels</x:v>
      </x:c>
      <x:c r="C45" t="n">
        <x:v>6</x:v>
      </x:c>
      <x:c r="D45" t="n">
        <x:v>6</x:v>
      </x:c>
      <x:c r="E45" t="n">
        <x:v>35</x:v>
      </x:c>
      <x:c r="F45" t="n">
        <x:v>35</x:v>
      </x:c>
      <x:c r="G45" t="n">
        <x:v>0</x:v>
      </x:c>
      <x:c r="H45" t="str">
        <x:v>OK</x:v>
      </x:c>
    </x:row>
    <x:row r="46">
      <x:c r="A46" t="n">
        <x:v>45</x:v>
      </x:c>
      <x:c r="B46" t="str">
        <x:v>Commiphora wightii (Arn.) Bhandari</x:v>
      </x:c>
      <x:c r="C46" t="n">
        <x:v>17</x:v>
      </x:c>
      <x:c r="D46" t="n">
        <x:v>7</x:v>
      </x:c>
      <x:c r="E46" t="n">
        <x:v>57.5</x:v>
      </x:c>
      <x:c r="F46" t="n">
        <x:v>57.5</x:v>
      </x:c>
      <x:c r="G46" t="n">
        <x:v>0</x:v>
      </x:c>
      <x:c r="H46" t="str">
        <x:v>OK</x:v>
      </x:c>
    </x:row>
    <x:row r="47">
      <x:c r="A47" t="n">
        <x:v>46</x:v>
      </x:c>
      <x:c r="B47" t="str">
        <x:v>Convolvulus microphyllus Sieb. ex Spreng </x:v>
      </x:c>
      <x:c r="C47" t="n">
        <x:v>3</x:v>
      </x:c>
      <x:c r="D47" t="n">
        <x:v>3</x:v>
      </x:c>
      <x:c r="E47" t="n">
        <x:v>17.5</x:v>
      </x:c>
      <x:c r="F47" t="n">
        <x:v>17.5</x:v>
      </x:c>
      <x:c r="G47" t="n">
        <x:v>0</x:v>
      </x:c>
      <x:c r="H47" t="str">
        <x:v>OK</x:v>
      </x:c>
    </x:row>
    <x:row r="48">
      <x:c r="A48" t="n">
        <x:v>47</x:v>
      </x:c>
      <x:c r="B48" t="str">
        <x:v>Corchorus depressus (L.) C. Chr.</x:v>
      </x:c>
      <x:c r="C48" t="n">
        <x:v>7</x:v>
      </x:c>
      <x:c r="D48" t="n">
        <x:v>5</x:v>
      </x:c>
      <x:c r="E48" t="n">
        <x:v>32.5</x:v>
      </x:c>
      <x:c r="F48" t="n">
        <x:v>32.5</x:v>
      </x:c>
      <x:c r="G48" t="n">
        <x:v>0</x:v>
      </x:c>
      <x:c r="H48" t="str">
        <x:v>OK</x:v>
      </x:c>
    </x:row>
    <x:row r="49">
      <x:c r="A49" t="n">
        <x:v>48</x:v>
      </x:c>
      <x:c r="B49" t="str">
        <x:v>Corchorus trilocularis L.</x:v>
      </x:c>
      <x:c r="C49" t="n">
        <x:v>10</x:v>
      </x:c>
      <x:c r="D49" t="n">
        <x:v>6</x:v>
      </x:c>
      <x:c r="E49" t="n">
        <x:v>41.7</x:v>
      </x:c>
      <x:c r="F49" t="n">
        <x:v>41.6667</x:v>
      </x:c>
      <x:c r="G49" t="n">
        <x:v>0.0333</x:v>
      </x:c>
      <x:c r="H49" t="str">
        <x:v>OK</x:v>
      </x:c>
    </x:row>
    <x:row r="50">
      <x:c r="A50" t="n">
        <x:v>49</x:v>
      </x:c>
      <x:c r="B50" t="str">
        <x:v>Cordia myxa L.</x:v>
      </x:c>
      <x:c r="C50" t="n">
        <x:v>9</x:v>
      </x:c>
      <x:c r="D50" t="n">
        <x:v>6</x:v>
      </x:c>
      <x:c r="E50" t="n">
        <x:v>40</x:v>
      </x:c>
      <x:c r="F50" t="n">
        <x:v>40</x:v>
      </x:c>
      <x:c r="G50" t="n">
        <x:v>0</x:v>
      </x:c>
      <x:c r="H50" t="str">
        <x:v>OK</x:v>
      </x:c>
    </x:row>
    <x:row r="51">
      <x:c r="A51" t="n">
        <x:v>50</x:v>
      </x:c>
      <x:c r="B51" t="str">
        <x:v>Cressa cretica L.</x:v>
      </x:c>
      <x:c r="C51" t="n">
        <x:v>17</x:v>
      </x:c>
      <x:c r="D51" t="n">
        <x:v>7</x:v>
      </x:c>
      <x:c r="E51" t="n">
        <x:v>57.5</x:v>
      </x:c>
      <x:c r="F51" t="n">
        <x:v>57.5</x:v>
      </x:c>
      <x:c r="G51" t="n">
        <x:v>0</x:v>
      </x:c>
      <x:c r="H51" t="str">
        <x:v>OK</x:v>
      </x:c>
    </x:row>
    <x:row r="52">
      <x:c r="A52" t="n">
        <x:v>51</x:v>
      </x:c>
      <x:c r="B52" t="str">
        <x:v>Crotalaria burhia Buch.-Ham. </x:v>
      </x:c>
      <x:c r="C52" t="n">
        <x:v>8</x:v>
      </x:c>
      <x:c r="D52" t="n">
        <x:v>4</x:v>
      </x:c>
      <x:c r="E52" t="n">
        <x:v>30</x:v>
      </x:c>
      <x:c r="F52" t="n">
        <x:v>30</x:v>
      </x:c>
      <x:c r="G52" t="n">
        <x:v>0</x:v>
      </x:c>
      <x:c r="H52" t="str">
        <x:v>OK</x:v>
      </x:c>
    </x:row>
    <x:row r="53">
      <x:c r="A53" t="n">
        <x:v>52</x:v>
      </x:c>
      <x:c r="B53" t="str">
        <x:v>Cucumis callosus (Rottl.) Cogn. </x:v>
      </x:c>
      <x:c r="C53" t="n">
        <x:v>3</x:v>
      </x:c>
      <x:c r="D53" t="n">
        <x:v>2</x:v>
      </x:c>
      <x:c r="E53" t="n">
        <x:v>13.3</x:v>
      </x:c>
      <x:c r="F53" t="n">
        <x:v>13.3333</x:v>
      </x:c>
      <x:c r="G53" t="n">
        <x:v>-0.0333</x:v>
      </x:c>
      <x:c r="H53" t="str">
        <x:v>OK</x:v>
      </x:c>
    </x:row>
    <x:row r="54">
      <x:c r="A54" t="n">
        <x:v>53</x:v>
      </x:c>
      <x:c r="B54" t="str">
        <x:v>Cymbopogon citratus Stapf</x:v>
      </x:c>
      <x:c r="C54" t="n">
        <x:v>9</x:v>
      </x:c>
      <x:c r="D54" t="n">
        <x:v>5</x:v>
      </x:c>
      <x:c r="E54" t="n">
        <x:v>35.8</x:v>
      </x:c>
      <x:c r="F54" t="n">
        <x:v>35.8333</x:v>
      </x:c>
      <x:c r="G54" t="n">
        <x:v>-0.0333</x:v>
      </x:c>
      <x:c r="H54" t="str">
        <x:v>OK</x:v>
      </x:c>
    </x:row>
    <x:row r="55">
      <x:c r="A55" t="n">
        <x:v>54</x:v>
      </x:c>
      <x:c r="B55" t="str">
        <x:v>Cynodon dactylon Pers.</x:v>
      </x:c>
      <x:c r="C55" t="n">
        <x:v>14</x:v>
      </x:c>
      <x:c r="D55" t="n">
        <x:v>6</x:v>
      </x:c>
      <x:c r="E55" t="n">
        <x:v>48.3</x:v>
      </x:c>
      <x:c r="F55" t="n">
        <x:v>48.3333</x:v>
      </x:c>
      <x:c r="G55" t="n">
        <x:v>-0.0333</x:v>
      </x:c>
      <x:c r="H55" t="str">
        <x:v>OK</x:v>
      </x:c>
    </x:row>
    <x:row r="56">
      <x:c r="A56" t="n">
        <x:v>55</x:v>
      </x:c>
      <x:c r="B56" t="str">
        <x:v>Cyperus rotundus L.</x:v>
      </x:c>
      <x:c r="C56" t="n">
        <x:v>11</x:v>
      </x:c>
      <x:c r="D56" t="n">
        <x:v>6</x:v>
      </x:c>
      <x:c r="E56" t="n">
        <x:v>43.3</x:v>
      </x:c>
      <x:c r="F56" t="n">
        <x:v>43.3333</x:v>
      </x:c>
      <x:c r="G56" t="n">
        <x:v>-0.0333</x:v>
      </x:c>
      <x:c r="H56" t="str">
        <x:v>OK</x:v>
      </x:c>
    </x:row>
    <x:row r="57">
      <x:c r="A57" t="n">
        <x:v>56</x:v>
      </x:c>
      <x:c r="B57" t="str">
        <x:v>Cyperus scariosus R. Br.</x:v>
      </x:c>
      <x:c r="C57" t="n">
        <x:v>6</x:v>
      </x:c>
      <x:c r="D57" t="n">
        <x:v>6</x:v>
      </x:c>
      <x:c r="E57" t="n">
        <x:v>35</x:v>
      </x:c>
      <x:c r="F57" t="n">
        <x:v>35</x:v>
      </x:c>
      <x:c r="G57" t="n">
        <x:v>0</x:v>
      </x:c>
      <x:c r="H57" t="str">
        <x:v>OK</x:v>
      </x:c>
    </x:row>
    <x:row r="58">
      <x:c r="A58" t="n">
        <x:v>57</x:v>
      </x:c>
      <x:c r="B58" t="str">
        <x:v>Dalbergia sissoo Roxb.</x:v>
      </x:c>
      <x:c r="C58" t="n">
        <x:v>27</x:v>
      </x:c>
      <x:c r="D58" t="n">
        <x:v>9</x:v>
      </x:c>
      <x:c r="E58" t="n">
        <x:v>82.5</x:v>
      </x:c>
      <x:c r="F58" t="n">
        <x:v>82.5</x:v>
      </x:c>
      <x:c r="G58" t="n">
        <x:v>0</x:v>
      </x:c>
      <x:c r="H58" t="str">
        <x:v>OK</x:v>
      </x:c>
    </x:row>
    <x:row r="59">
      <x:c r="A59" t="n">
        <x:v>58</x:v>
      </x:c>
      <x:c r="B59" t="str">
        <x:v>Datura metel L.</x:v>
      </x:c>
      <x:c r="C59" t="n">
        <x:v>18</x:v>
      </x:c>
      <x:c r="D59" t="n">
        <x:v>7</x:v>
      </x:c>
      <x:c r="E59" t="n">
        <x:v>59.2</x:v>
      </x:c>
      <x:c r="F59" t="n">
        <x:v>59.1667</x:v>
      </x:c>
      <x:c r="G59" t="n">
        <x:v>0.0333</x:v>
      </x:c>
      <x:c r="H59" t="str">
        <x:v>OK</x:v>
      </x:c>
    </x:row>
    <x:row r="60">
      <x:c r="A60" t="n">
        <x:v>59</x:v>
      </x:c>
      <x:c r="B60" t="str">
        <x:v>Desmostachya bipinnata Stapf</x:v>
      </x:c>
      <x:c r="C60" t="n">
        <x:v>8</x:v>
      </x:c>
      <x:c r="D60" t="n">
        <x:v>7</x:v>
      </x:c>
      <x:c r="E60" t="n">
        <x:v>42.5</x:v>
      </x:c>
      <x:c r="F60" t="n">
        <x:v>42.5</x:v>
      </x:c>
      <x:c r="G60" t="n">
        <x:v>0</x:v>
      </x:c>
      <x:c r="H60" t="str">
        <x:v>OK</x:v>
      </x:c>
    </x:row>
    <x:row r="61">
      <x:c r="A61" t="n">
        <x:v>60</x:v>
      </x:c>
      <x:c r="B61" t="str">
        <x:v>Echinops echinatus Roxb.</x:v>
      </x:c>
      <x:c r="C61" t="n">
        <x:v>10</x:v>
      </x:c>
      <x:c r="D61" t="n">
        <x:v>8</x:v>
      </x:c>
      <x:c r="E61" t="n">
        <x:v>50</x:v>
      </x:c>
      <x:c r="F61" t="n">
        <x:v>50</x:v>
      </x:c>
      <x:c r="G61" t="n">
        <x:v>0</x:v>
      </x:c>
      <x:c r="H61" t="str">
        <x:v>OK</x:v>
      </x:c>
    </x:row>
    <x:row r="62">
      <x:c r="A62" t="n">
        <x:v>61</x:v>
      </x:c>
      <x:c r="B62" t="str">
        <x:v>Eclipta prostrata (L.) L.</x:v>
      </x:c>
      <x:c r="C62" t="n">
        <x:v>16</x:v>
      </x:c>
      <x:c r="D62" t="n">
        <x:v>9</x:v>
      </x:c>
      <x:c r="E62" t="n">
        <x:v>64.2</x:v>
      </x:c>
      <x:c r="F62" t="n">
        <x:v>64.1667</x:v>
      </x:c>
      <x:c r="G62" t="n">
        <x:v>0.0333</x:v>
      </x:c>
      <x:c r="H62" t="str">
        <x:v>OK</x:v>
      </x:c>
    </x:row>
    <x:row r="63">
      <x:c r="A63" t="n">
        <x:v>62</x:v>
      </x:c>
      <x:c r="B63" t="str">
        <x:v>Emblica officinalis Gaertn.</x:v>
      </x:c>
      <x:c r="C63" t="n">
        <x:v>17</x:v>
      </x:c>
      <x:c r="D63" t="n">
        <x:v>9</x:v>
      </x:c>
      <x:c r="E63" t="n">
        <x:v>65.8</x:v>
      </x:c>
      <x:c r="F63" t="n">
        <x:v>65.8333</x:v>
      </x:c>
      <x:c r="G63" t="n">
        <x:v>-0.0333</x:v>
      </x:c>
      <x:c r="H63" t="str">
        <x:v>OK</x:v>
      </x:c>
    </x:row>
    <x:row r="64">
      <x:c r="A64" t="n">
        <x:v>63</x:v>
      </x:c>
      <x:c r="B64" t="str">
        <x:v>Ephedra foliata Boiss. and Kotschy</x:v>
      </x:c>
      <x:c r="C64" t="n">
        <x:v>5</x:v>
      </x:c>
      <x:c r="D64" t="n">
        <x:v>3</x:v>
      </x:c>
      <x:c r="E64" t="n">
        <x:v>20.8</x:v>
      </x:c>
      <x:c r="F64" t="n">
        <x:v>20.8333</x:v>
      </x:c>
      <x:c r="G64" t="n">
        <x:v>-0.0333</x:v>
      </x:c>
      <x:c r="H64" t="str">
        <x:v>OK</x:v>
      </x:c>
    </x:row>
    <x:row r="65">
      <x:c r="A65" t="n">
        <x:v>64</x:v>
      </x:c>
      <x:c r="B65" t="str">
        <x:v>Euphorbia caducifolia Haines.</x:v>
      </x:c>
      <x:c r="C65" t="n">
        <x:v>13</x:v>
      </x:c>
      <x:c r="D65" t="n">
        <x:v>8</x:v>
      </x:c>
      <x:c r="E65" t="n">
        <x:v>55</x:v>
      </x:c>
      <x:c r="F65" t="n">
        <x:v>55</x:v>
      </x:c>
      <x:c r="G65" t="n">
        <x:v>0</x:v>
      </x:c>
      <x:c r="H65" t="str">
        <x:v>OK</x:v>
      </x:c>
    </x:row>
    <x:row r="66">
      <x:c r="A66" t="n">
        <x:v>65</x:v>
      </x:c>
      <x:c r="B66" t="str">
        <x:v>Euphorbia hirta L.</x:v>
      </x:c>
      <x:c r="C66" t="n">
        <x:v>9</x:v>
      </x:c>
      <x:c r="D66" t="n">
        <x:v>5</x:v>
      </x:c>
      <x:c r="E66" t="n">
        <x:v>35.8</x:v>
      </x:c>
      <x:c r="F66" t="n">
        <x:v>35.8333</x:v>
      </x:c>
      <x:c r="G66" t="n">
        <x:v>-0.0333</x:v>
      </x:c>
      <x:c r="H66" t="str">
        <x:v>OK</x:v>
      </x:c>
    </x:row>
    <x:row r="67">
      <x:c r="A67" t="n">
        <x:v>66</x:v>
      </x:c>
      <x:c r="B67" t="str">
        <x:v>Evovulus alsinoides L.</x:v>
      </x:c>
      <x:c r="C67" t="n">
        <x:v>12</x:v>
      </x:c>
      <x:c r="D67" t="n">
        <x:v>7</x:v>
      </x:c>
      <x:c r="E67" t="n">
        <x:v>49.2</x:v>
      </x:c>
      <x:c r="F67" t="n">
        <x:v>49.1667</x:v>
      </x:c>
      <x:c r="G67" t="n">
        <x:v>0.0333</x:v>
      </x:c>
      <x:c r="H67" t="str">
        <x:v>OK</x:v>
      </x:c>
    </x:row>
    <x:row r="68">
      <x:c r="A68" t="n">
        <x:v>67</x:v>
      </x:c>
      <x:c r="B68" t="str">
        <x:v>Fagonia indica Burm. f.</x:v>
      </x:c>
      <x:c r="C68" t="n">
        <x:v>7</x:v>
      </x:c>
      <x:c r="D68" t="n">
        <x:v>5</x:v>
      </x:c>
      <x:c r="E68" t="n">
        <x:v>32.5</x:v>
      </x:c>
      <x:c r="F68" t="n">
        <x:v>32.5</x:v>
      </x:c>
      <x:c r="G68" t="n">
        <x:v>0</x:v>
      </x:c>
      <x:c r="H68" t="str">
        <x:v>OK</x:v>
      </x:c>
    </x:row>
    <x:row r="69">
      <x:c r="A69" t="n">
        <x:v>68</x:v>
      </x:c>
      <x:c r="B69" t="str">
        <x:v>Ficus bengalensis L.</x:v>
      </x:c>
      <x:c r="C69" t="n">
        <x:v>10</x:v>
      </x:c>
      <x:c r="D69" t="n">
        <x:v>4</x:v>
      </x:c>
      <x:c r="E69" t="n">
        <x:v>33.3</x:v>
      </x:c>
      <x:c r="F69" t="n">
        <x:v>33.3333</x:v>
      </x:c>
      <x:c r="G69" t="n">
        <x:v>-0.0333</x:v>
      </x:c>
      <x:c r="H69" t="str">
        <x:v>OK</x:v>
      </x:c>
    </x:row>
    <x:row r="70">
      <x:c r="A70" t="n">
        <x:v>69</x:v>
      </x:c>
      <x:c r="B70" t="str">
        <x:v>Ficus religiosa L.</x:v>
      </x:c>
      <x:c r="C70" t="n">
        <x:v>14</x:v>
      </x:c>
      <x:c r="D70" t="n">
        <x:v>7</x:v>
      </x:c>
      <x:c r="E70" t="n">
        <x:v>52.5</x:v>
      </x:c>
      <x:c r="F70" t="n">
        <x:v>52.5</x:v>
      </x:c>
      <x:c r="G70" t="n">
        <x:v>0</x:v>
      </x:c>
      <x:c r="H70" t="str">
        <x:v>OK</x:v>
      </x:c>
    </x:row>
    <x:row r="71">
      <x:c r="A71" t="n">
        <x:v>70</x:v>
      </x:c>
      <x:c r="B71" t="str">
        <x:v>Fumaria indica Pugsley</x:v>
      </x:c>
      <x:c r="C71" t="n">
        <x:v>8</x:v>
      </x:c>
      <x:c r="D71" t="n">
        <x:v>7</x:v>
      </x:c>
      <x:c r="E71" t="n">
        <x:v>42.5</x:v>
      </x:c>
      <x:c r="F71" t="n">
        <x:v>42.5</x:v>
      </x:c>
      <x:c r="G71" t="n">
        <x:v>0</x:v>
      </x:c>
      <x:c r="H71" t="str">
        <x:v>OK</x:v>
      </x:c>
    </x:row>
    <x:row r="72">
      <x:c r="A72" t="n">
        <x:v>71</x:v>
      </x:c>
      <x:c r="B72" t="str">
        <x:v>Glycyrrhiza glabra L.</x:v>
      </x:c>
      <x:c r="C72" t="n">
        <x:v>12</x:v>
      </x:c>
      <x:c r="D72" t="n">
        <x:v>7</x:v>
      </x:c>
      <x:c r="E72" t="n">
        <x:v>49.2</x:v>
      </x:c>
      <x:c r="F72" t="n">
        <x:v>49.1667</x:v>
      </x:c>
      <x:c r="G72" t="n">
        <x:v>0.0333</x:v>
      </x:c>
      <x:c r="H72" t="str">
        <x:v>OK</x:v>
      </x:c>
    </x:row>
    <x:row r="73">
      <x:c r="A73" t="n">
        <x:v>72</x:v>
      </x:c>
      <x:c r="B73" t="str">
        <x:v>Grewia populifolia Vahl</x:v>
      </x:c>
      <x:c r="C73" t="n">
        <x:v>3</x:v>
      </x:c>
      <x:c r="D73" t="n">
        <x:v>2</x:v>
      </x:c>
      <x:c r="E73" t="n">
        <x:v>13.3</x:v>
      </x:c>
      <x:c r="F73" t="n">
        <x:v>13.3333</x:v>
      </x:c>
      <x:c r="G73" t="n">
        <x:v>-0.0333</x:v>
      </x:c>
      <x:c r="H73" t="str">
        <x:v>OK</x:v>
      </x:c>
    </x:row>
    <x:row r="74">
      <x:c r="A74" t="n">
        <x:v>73</x:v>
      </x:c>
      <x:c r="B74" t="str">
        <x:v>Grewia tenax (Forsk.) Aschers. and Schwf.</x:v>
      </x:c>
      <x:c r="C74" t="n">
        <x:v>5</x:v>
      </x:c>
      <x:c r="D74" t="n">
        <x:v>3</x:v>
      </x:c>
      <x:c r="E74" t="n">
        <x:v>20.8</x:v>
      </x:c>
      <x:c r="F74" t="n">
        <x:v>20.8333</x:v>
      </x:c>
      <x:c r="G74" t="n">
        <x:v>-0.0333</x:v>
      </x:c>
      <x:c r="H74" t="str">
        <x:v>OK</x:v>
      </x:c>
    </x:row>
    <x:row r="75">
      <x:c r="A75" t="n">
        <x:v>74</x:v>
      </x:c>
      <x:c r="B75" t="str">
        <x:v>Grewia tiliaefolia Vahl</x:v>
      </x:c>
      <x:c r="C75" t="n">
        <x:v>17</x:v>
      </x:c>
      <x:c r="D75" t="n">
        <x:v>7</x:v>
      </x:c>
      <x:c r="E75" t="n">
        <x:v>57.5</x:v>
      </x:c>
      <x:c r="F75" t="n">
        <x:v>57.5</x:v>
      </x:c>
      <x:c r="G75" t="n">
        <x:v>0</x:v>
      </x:c>
      <x:c r="H75" t="str">
        <x:v>OK</x:v>
      </x:c>
    </x:row>
    <x:row r="76">
      <x:c r="A76" t="n">
        <x:v>75</x:v>
      </x:c>
      <x:c r="B76" t="str">
        <x:v>Heliotropium indicum L.</x:v>
      </x:c>
      <x:c r="C76" t="n">
        <x:v>10</x:v>
      </x:c>
      <x:c r="D76" t="n">
        <x:v>7</x:v>
      </x:c>
      <x:c r="E76" t="n">
        <x:v>45.8</x:v>
      </x:c>
      <x:c r="F76" t="n">
        <x:v>45.8333</x:v>
      </x:c>
      <x:c r="G76" t="n">
        <x:v>-0.0333</x:v>
      </x:c>
      <x:c r="H76" t="str">
        <x:v>OK</x:v>
      </x:c>
    </x:row>
    <x:row r="77">
      <x:c r="A77" t="n">
        <x:v>76</x:v>
      </x:c>
      <x:c r="B77" t="str">
        <x:v>Hibiscus rosa-sinensis L.</x:v>
      </x:c>
      <x:c r="C77" t="n">
        <x:v>17</x:v>
      </x:c>
      <x:c r="D77" t="n">
        <x:v>8</x:v>
      </x:c>
      <x:c r="E77" t="n">
        <x:v>61.7</x:v>
      </x:c>
      <x:c r="F77" t="n">
        <x:v>61.6667</x:v>
      </x:c>
      <x:c r="G77" t="n">
        <x:v>0.0333</x:v>
      </x:c>
      <x:c r="H77" t="str">
        <x:v>OK</x:v>
      </x:c>
    </x:row>
    <x:row r="78">
      <x:c r="A78" t="n">
        <x:v>77</x:v>
      </x:c>
      <x:c r="B78" t="str">
        <x:v>Holarrhena antidysenterica (L.) Wall.</x:v>
      </x:c>
      <x:c r="C78" t="n">
        <x:v>13</x:v>
      </x:c>
      <x:c r="D78" t="n">
        <x:v>7</x:v>
      </x:c>
      <x:c r="E78" t="n">
        <x:v>50.8</x:v>
      </x:c>
      <x:c r="F78" t="n">
        <x:v>50.8333</x:v>
      </x:c>
      <x:c r="G78" t="n">
        <x:v>-0.0333</x:v>
      </x:c>
      <x:c r="H78" t="str">
        <x:v>OK</x:v>
      </x:c>
    </x:row>
    <x:row r="79">
      <x:c r="A79" t="n">
        <x:v>78</x:v>
      </x:c>
      <x:c r="B79" t="str">
        <x:v>Indigofera linnaei Ali.</x:v>
      </x:c>
      <x:c r="C79" t="n">
        <x:v>5</x:v>
      </x:c>
      <x:c r="D79" t="n">
        <x:v>5</x:v>
      </x:c>
      <x:c r="E79" t="n">
        <x:v>29.2</x:v>
      </x:c>
      <x:c r="F79" t="n">
        <x:v>29.1667</x:v>
      </x:c>
      <x:c r="G79" t="n">
        <x:v>0.0333</x:v>
      </x:c>
      <x:c r="H79" t="str">
        <x:v>OK</x:v>
      </x:c>
    </x:row>
    <x:row r="80">
      <x:c r="A80" t="n">
        <x:v>79</x:v>
      </x:c>
      <x:c r="B80" t="str">
        <x:v>Jatropha curcas L.</x:v>
      </x:c>
      <x:c r="C80" t="n">
        <x:v>12</x:v>
      </x:c>
      <x:c r="D80" t="n">
        <x:v>4</x:v>
      </x:c>
      <x:c r="E80" t="n">
        <x:v>36.7</x:v>
      </x:c>
      <x:c r="F80" t="n">
        <x:v>36.6667</x:v>
      </x:c>
      <x:c r="G80" t="n">
        <x:v>0.0333</x:v>
      </x:c>
      <x:c r="H80" t="str">
        <x:v>OK</x:v>
      </x:c>
    </x:row>
    <x:row r="81">
      <x:c r="A81" t="n">
        <x:v>80</x:v>
      </x:c>
      <x:c r="B81" t="str">
        <x:v>Lantana camara L.</x:v>
      </x:c>
      <x:c r="C81" t="n">
        <x:v>6</x:v>
      </x:c>
      <x:c r="D81" t="n">
        <x:v>3</x:v>
      </x:c>
      <x:c r="E81" t="n">
        <x:v>22.5</x:v>
      </x:c>
      <x:c r="F81" t="n">
        <x:v>22.5</x:v>
      </x:c>
      <x:c r="G81" t="n">
        <x:v>0</x:v>
      </x:c>
      <x:c r="H81" t="str">
        <x:v>OK</x:v>
      </x:c>
    </x:row>
    <x:row r="82">
      <x:c r="A82" t="n">
        <x:v>81</x:v>
      </x:c>
      <x:c r="B82" t="str">
        <x:v>Lawsonia inermis L.</x:v>
      </x:c>
      <x:c r="C82" t="n">
        <x:v>9</x:v>
      </x:c>
      <x:c r="D82" t="n">
        <x:v>5</x:v>
      </x:c>
      <x:c r="E82" t="n">
        <x:v>35.8</x:v>
      </x:c>
      <x:c r="F82" t="n">
        <x:v>35.8333</x:v>
      </x:c>
      <x:c r="G82" t="n">
        <x:v>-0.0333</x:v>
      </x:c>
      <x:c r="H82" t="str">
        <x:v>OK</x:v>
      </x:c>
    </x:row>
    <x:row r="83">
      <x:c r="A83" t="n">
        <x:v>82</x:v>
      </x:c>
      <x:c r="B83" t="str">
        <x:v>Leptadenia reticulata Wight and Arn.</x:v>
      </x:c>
      <x:c r="C83" t="n">
        <x:v>2</x:v>
      </x:c>
      <x:c r="D83" t="n">
        <x:v>2</x:v>
      </x:c>
      <x:c r="E83" t="n">
        <x:v>11.7</x:v>
      </x:c>
      <x:c r="F83" t="n">
        <x:v>11.6667</x:v>
      </x:c>
      <x:c r="G83" t="n">
        <x:v>0.0333</x:v>
      </x:c>
      <x:c r="H83" t="str">
        <x:v>OK</x:v>
      </x:c>
    </x:row>
    <x:row r="84">
      <x:c r="A84" t="n">
        <x:v>83</x:v>
      </x:c>
      <x:c r="B84" t="str">
        <x:v>Leucas aspera Spreng.</x:v>
      </x:c>
      <x:c r="C84" t="n">
        <x:v>6</x:v>
      </x:c>
      <x:c r="D84" t="n">
        <x:v>4</x:v>
      </x:c>
      <x:c r="E84" t="n">
        <x:v>26.7</x:v>
      </x:c>
      <x:c r="F84" t="n">
        <x:v>26.6667</x:v>
      </x:c>
      <x:c r="G84" t="n">
        <x:v>0.0333</x:v>
      </x:c>
      <x:c r="H84" t="str">
        <x:v>OK</x:v>
      </x:c>
    </x:row>
    <x:row r="85">
      <x:c r="A85" t="n">
        <x:v>84</x:v>
      </x:c>
      <x:c r="B85" t="str">
        <x:v>Lycium barbarum L.</x:v>
      </x:c>
      <x:c r="C85" t="n">
        <x:v>5</x:v>
      </x:c>
      <x:c r="D85" t="n">
        <x:v>3</x:v>
      </x:c>
      <x:c r="E85" t="n">
        <x:v>20.8</x:v>
      </x:c>
      <x:c r="F85" t="n">
        <x:v>20.8333</x:v>
      </x:c>
      <x:c r="G85" t="n">
        <x:v>-0.0333</x:v>
      </x:c>
      <x:c r="H85" t="str">
        <x:v>OK</x:v>
      </x:c>
    </x:row>
    <x:row r="86">
      <x:c r="A86" t="n">
        <x:v>85</x:v>
      </x:c>
      <x:c r="B86" t="str">
        <x:v>Lycium chinense Mill.</x:v>
      </x:c>
      <x:c r="C86" t="n">
        <x:v>5</x:v>
      </x:c>
      <x:c r="D86" t="n">
        <x:v>3</x:v>
      </x:c>
      <x:c r="E86" t="n">
        <x:v>20.8</x:v>
      </x:c>
      <x:c r="F86" t="n">
        <x:v>20.8333</x:v>
      </x:c>
      <x:c r="G86" t="n">
        <x:v>-0.0333</x:v>
      </x:c>
      <x:c r="H86" t="str">
        <x:v>OK</x:v>
      </x:c>
    </x:row>
    <x:row r="87">
      <x:c r="A87" t="n">
        <x:v>86</x:v>
      </x:c>
      <x:c r="B87" t="str">
        <x:v>Majorana hortensis Moench. </x:v>
      </x:c>
      <x:c r="C87" t="n">
        <x:v>9</x:v>
      </x:c>
      <x:c r="D87" t="n">
        <x:v>5</x:v>
      </x:c>
      <x:c r="E87" t="n">
        <x:v>35.8</x:v>
      </x:c>
      <x:c r="F87" t="n">
        <x:v>35.8333</x:v>
      </x:c>
      <x:c r="G87" t="n">
        <x:v>-0.0333</x:v>
      </x:c>
      <x:c r="H87" t="str">
        <x:v>OK</x:v>
      </x:c>
    </x:row>
    <x:row r="88">
      <x:c r="A88" t="n">
        <x:v>87</x:v>
      </x:c>
      <x:c r="B88" t="str">
        <x:v>Maytenus emarginata (Ruiz and Pav.) Loes</x:v>
      </x:c>
      <x:c r="C88" t="n">
        <x:v>8</x:v>
      </x:c>
      <x:c r="D88" t="n">
        <x:v>5</x:v>
      </x:c>
      <x:c r="E88" t="n">
        <x:v>34.2</x:v>
      </x:c>
      <x:c r="F88" t="n">
        <x:v>34.1667</x:v>
      </x:c>
      <x:c r="G88" t="n">
        <x:v>0.0333</x:v>
      </x:c>
      <x:c r="H88" t="str">
        <x:v>OK</x:v>
      </x:c>
    </x:row>
    <x:row r="89">
      <x:c r="A89" t="n">
        <x:v>88</x:v>
      </x:c>
      <x:c r="B89" t="str">
        <x:v>Mimosa hamata Willd.</x:v>
      </x:c>
      <x:c r="C89" t="n">
        <x:v>20</x:v>
      </x:c>
      <x:c r="D89" t="n">
        <x:v>8</x:v>
      </x:c>
      <x:c r="E89" t="n">
        <x:v>66.7</x:v>
      </x:c>
      <x:c r="F89" t="n">
        <x:v>66.6667</x:v>
      </x:c>
      <x:c r="G89" t="n">
        <x:v>0.0333</x:v>
      </x:c>
      <x:c r="H89" t="str">
        <x:v>OK</x:v>
      </x:c>
    </x:row>
    <x:row r="90">
      <x:c r="A90" t="n">
        <x:v>89</x:v>
      </x:c>
      <x:c r="B90" t="str">
        <x:v>Mimosa pudica L.</x:v>
      </x:c>
      <x:c r="C90" t="n">
        <x:v>7</x:v>
      </x:c>
      <x:c r="D90" t="n">
        <x:v>4</x:v>
      </x:c>
      <x:c r="E90" t="n">
        <x:v>28.3</x:v>
      </x:c>
      <x:c r="F90" t="n">
        <x:v>28.3333</x:v>
      </x:c>
      <x:c r="G90" t="n">
        <x:v>-0.0333</x:v>
      </x:c>
      <x:c r="H90" t="str">
        <x:v>OK</x:v>
      </x:c>
    </x:row>
    <x:row r="91">
      <x:c r="A91" t="n">
        <x:v>90</x:v>
      </x:c>
      <x:c r="B91" t="str">
        <x:v>Mollugo cerviana Ser.</x:v>
      </x:c>
      <x:c r="C91" t="n">
        <x:v>5</x:v>
      </x:c>
      <x:c r="D91" t="n">
        <x:v>4</x:v>
      </x:c>
      <x:c r="E91" t="n">
        <x:v>25</x:v>
      </x:c>
      <x:c r="F91" t="n">
        <x:v>25</x:v>
      </x:c>
      <x:c r="G91" t="n">
        <x:v>0</x:v>
      </x:c>
      <x:c r="H91" t="str">
        <x:v>OK</x:v>
      </x:c>
    </x:row>
    <x:row r="92">
      <x:c r="A92" t="n">
        <x:v>91</x:v>
      </x:c>
      <x:c r="B92" t="str">
        <x:v>Moringa oleifera Lam.</x:v>
      </x:c>
      <x:c r="C92" t="n">
        <x:v>16</x:v>
      </x:c>
      <x:c r="D92" t="n">
        <x:v>9</x:v>
      </x:c>
      <x:c r="E92" t="n">
        <x:v>64.2</x:v>
      </x:c>
      <x:c r="F92" t="n">
        <x:v>64.1667</x:v>
      </x:c>
      <x:c r="G92" t="n">
        <x:v>0.0333</x:v>
      </x:c>
      <x:c r="H92" t="str">
        <x:v>OK</x:v>
      </x:c>
    </x:row>
    <x:row r="93">
      <x:c r="A93" t="n">
        <x:v>92</x:v>
      </x:c>
      <x:c r="B93" t="str">
        <x:v>Mucuna pruriens Baker.</x:v>
      </x:c>
      <x:c r="C93" t="n">
        <x:v>10</x:v>
      </x:c>
      <x:c r="D93" t="n">
        <x:v>8</x:v>
      </x:c>
      <x:c r="E93" t="n">
        <x:v>50</x:v>
      </x:c>
      <x:c r="F93" t="n">
        <x:v>50</x:v>
      </x:c>
      <x:c r="G93" t="n">
        <x:v>0</x:v>
      </x:c>
      <x:c r="H93" t="str">
        <x:v>OK</x:v>
      </x:c>
    </x:row>
    <x:row r="94">
      <x:c r="A94" t="n">
        <x:v>93</x:v>
      </x:c>
      <x:c r="B94" t="str">
        <x:v>Murraya koenigii (L.) Spreng.</x:v>
      </x:c>
      <x:c r="C94" t="n">
        <x:v>11</x:v>
      </x:c>
      <x:c r="D94" t="n">
        <x:v>6</x:v>
      </x:c>
      <x:c r="E94" t="n">
        <x:v>43.3</x:v>
      </x:c>
      <x:c r="F94" t="n">
        <x:v>43.3333</x:v>
      </x:c>
      <x:c r="G94" t="n">
        <x:v>-0.0333</x:v>
      </x:c>
      <x:c r="H94" t="str">
        <x:v>OK</x:v>
      </x:c>
    </x:row>
    <x:row r="95">
      <x:c r="A95" t="n">
        <x:v>94</x:v>
      </x:c>
      <x:c r="B95" t="str">
        <x:v>Neurada procumbens L.</x:v>
      </x:c>
      <x:c r="C95" t="n">
        <x:v>3</x:v>
      </x:c>
      <x:c r="D95" t="n">
        <x:v>3</x:v>
      </x:c>
      <x:c r="E95" t="n">
        <x:v>17.5</x:v>
      </x:c>
      <x:c r="F95" t="n">
        <x:v>17.5</x:v>
      </x:c>
      <x:c r="G95" t="n">
        <x:v>0</x:v>
      </x:c>
      <x:c r="H95" t="str">
        <x:v>OK</x:v>
      </x:c>
    </x:row>
    <x:row r="96">
      <x:c r="A96" t="n">
        <x:v>95</x:v>
      </x:c>
      <x:c r="B96" t="str">
        <x:v>Nyctanthes arbor-tristris L.</x:v>
      </x:c>
      <x:c r="C96" t="n">
        <x:v>11</x:v>
      </x:c>
      <x:c r="D96" t="n">
        <x:v>5</x:v>
      </x:c>
      <x:c r="E96" t="n">
        <x:v>39.2</x:v>
      </x:c>
      <x:c r="F96" t="n">
        <x:v>39.1667</x:v>
      </x:c>
      <x:c r="G96" t="n">
        <x:v>0.0333</x:v>
      </x:c>
      <x:c r="H96" t="str">
        <x:v>OK</x:v>
      </x:c>
    </x:row>
    <x:row r="97">
      <x:c r="A97" t="n">
        <x:v>96</x:v>
      </x:c>
      <x:c r="B97" t="str">
        <x:v>Ocimum sanctum L.</x:v>
      </x:c>
      <x:c r="C97" t="n">
        <x:v>23</x:v>
      </x:c>
      <x:c r="D97" t="n">
        <x:v>8</x:v>
      </x:c>
      <x:c r="E97" t="n">
        <x:v>71.7</x:v>
      </x:c>
      <x:c r="F97" t="n">
        <x:v>71.6667</x:v>
      </x:c>
      <x:c r="G97" t="n">
        <x:v>0.0333</x:v>
      </x:c>
      <x:c r="H97" t="str">
        <x:v>OK</x:v>
      </x:c>
    </x:row>
    <x:row r="98">
      <x:c r="A98" t="n">
        <x:v>97</x:v>
      </x:c>
      <x:c r="B98" t="str">
        <x:v>Opuntia elatior (Mill.) Willd.</x:v>
      </x:c>
      <x:c r="C98" t="n">
        <x:v>5</x:v>
      </x:c>
      <x:c r="D98" t="n">
        <x:v>5</x:v>
      </x:c>
      <x:c r="E98" t="n">
        <x:v>29.2</x:v>
      </x:c>
      <x:c r="F98" t="n">
        <x:v>29.1667</x:v>
      </x:c>
      <x:c r="G98" t="n">
        <x:v>0.0333</x:v>
      </x:c>
      <x:c r="H98" t="str">
        <x:v>OK</x:v>
      </x:c>
    </x:row>
    <x:row r="99">
      <x:c r="A99" t="n">
        <x:v>98</x:v>
      </x:c>
      <x:c r="B99" t="str">
        <x:v>Pedalium murex L.</x:v>
      </x:c>
      <x:c r="C99" t="n">
        <x:v>9</x:v>
      </x:c>
      <x:c r="D99" t="n">
        <x:v>4</x:v>
      </x:c>
      <x:c r="E99" t="n">
        <x:v>31.7</x:v>
      </x:c>
      <x:c r="F99" t="n">
        <x:v>31.6667</x:v>
      </x:c>
      <x:c r="G99" t="n">
        <x:v>0.0333</x:v>
      </x:c>
      <x:c r="H99" t="str">
        <x:v>OK</x:v>
      </x:c>
    </x:row>
    <x:row r="100">
      <x:c r="A100" t="n">
        <x:v>99</x:v>
      </x:c>
      <x:c r="B100" t="str">
        <x:v>Peganum harmala L.</x:v>
      </x:c>
      <x:c r="C100" t="n">
        <x:v>12</x:v>
      </x:c>
      <x:c r="D100" t="n">
        <x:v>7</x:v>
      </x:c>
      <x:c r="E100" t="n">
        <x:v>49.2</x:v>
      </x:c>
      <x:c r="F100" t="n">
        <x:v>49.1667</x:v>
      </x:c>
      <x:c r="G100" t="n">
        <x:v>0.0333</x:v>
      </x:c>
      <x:c r="H100" t="str">
        <x:v>OK</x:v>
      </x:c>
    </x:row>
    <x:row r="101">
      <x:c r="A101" t="n">
        <x:v>100</x:v>
      </x:c>
      <x:c r="B101" t="str">
        <x:v>Pergularia daemia (Forsk.) Chiov. </x:v>
      </x:c>
      <x:c r="C101" t="n">
        <x:v>9</x:v>
      </x:c>
      <x:c r="D101" t="n">
        <x:v>5</x:v>
      </x:c>
      <x:c r="E101" t="n">
        <x:v>35.8</x:v>
      </x:c>
      <x:c r="F101" t="n">
        <x:v>35.8333</x:v>
      </x:c>
      <x:c r="G101" t="n">
        <x:v>-0.0333</x:v>
      </x:c>
      <x:c r="H101" t="str">
        <x:v>OK</x:v>
      </x:c>
    </x:row>
    <x:row r="102">
      <x:c r="A102" t="n">
        <x:v>101</x:v>
      </x:c>
      <x:c r="B102" t="str">
        <x:v>Phyllanthus amarus Schum.</x:v>
      </x:c>
      <x:c r="C102" t="n">
        <x:v>4</x:v>
      </x:c>
      <x:c r="D102" t="n">
        <x:v>3</x:v>
      </x:c>
      <x:c r="E102" t="n">
        <x:v>19.2</x:v>
      </x:c>
      <x:c r="F102" t="n">
        <x:v>19.1667</x:v>
      </x:c>
      <x:c r="G102" t="n">
        <x:v>0.0333</x:v>
      </x:c>
      <x:c r="H102" t="str">
        <x:v>OK</x:v>
      </x:c>
    </x:row>
    <x:row r="103">
      <x:c r="A103" t="n">
        <x:v>102</x:v>
      </x:c>
      <x:c r="B103" t="str">
        <x:v>Phyllanthus fraternus Webst.</x:v>
      </x:c>
      <x:c r="C103" t="n">
        <x:v>11</x:v>
      </x:c>
      <x:c r="D103" t="n">
        <x:v>5</x:v>
      </x:c>
      <x:c r="E103" t="n">
        <x:v>39.2</x:v>
      </x:c>
      <x:c r="F103" t="n">
        <x:v>39.1667</x:v>
      </x:c>
      <x:c r="G103" t="n">
        <x:v>0.0333</x:v>
      </x:c>
      <x:c r="H103" t="str">
        <x:v>OK</x:v>
      </x:c>
    </x:row>
    <x:row r="104">
      <x:c r="A104" t="n">
        <x:v>103</x:v>
      </x:c>
      <x:c r="B104" t="str">
        <x:v>Plantago ovata Forsk.</x:v>
      </x:c>
      <x:c r="C104" t="n">
        <x:v>8</x:v>
      </x:c>
      <x:c r="D104" t="n">
        <x:v>3</x:v>
      </x:c>
      <x:c r="E104" t="n">
        <x:v>25.8</x:v>
      </x:c>
      <x:c r="F104" t="n">
        <x:v>25.8333</x:v>
      </x:c>
      <x:c r="G104" t="n">
        <x:v>-0.0333</x:v>
      </x:c>
      <x:c r="H104" t="str">
        <x:v>OK</x:v>
      </x:c>
    </x:row>
    <x:row r="105">
      <x:c r="A105" t="n">
        <x:v>104</x:v>
      </x:c>
      <x:c r="B105" t="str">
        <x:v>Polygala senega L.</x:v>
      </x:c>
      <x:c r="C105" t="n">
        <x:v>4</x:v>
      </x:c>
      <x:c r="D105" t="n">
        <x:v>2</x:v>
      </x:c>
      <x:c r="E105" t="n">
        <x:v>15</x:v>
      </x:c>
      <x:c r="F105" t="n">
        <x:v>15</x:v>
      </x:c>
      <x:c r="G105" t="n">
        <x:v>0</x:v>
      </x:c>
      <x:c r="H105" t="str">
        <x:v>OK</x:v>
      </x:c>
    </x:row>
    <x:row r="106">
      <x:c r="A106" t="n">
        <x:v>105</x:v>
      </x:c>
      <x:c r="B106" t="str">
        <x:v>Portulaca oleracea L.</x:v>
      </x:c>
      <x:c r="C106" t="n">
        <x:v>9</x:v>
      </x:c>
      <x:c r="D106" t="n">
        <x:v>6</x:v>
      </x:c>
      <x:c r="E106" t="n">
        <x:v>40</x:v>
      </x:c>
      <x:c r="F106" t="n">
        <x:v>40</x:v>
      </x:c>
      <x:c r="G106" t="n">
        <x:v>0</x:v>
      </x:c>
      <x:c r="H106" t="str">
        <x:v>OK</x:v>
      </x:c>
    </x:row>
    <x:row r="107">
      <x:c r="A107" t="n">
        <x:v>106</x:v>
      </x:c>
      <x:c r="B107" t="str">
        <x:v>Prosopis cineraria Druce</x:v>
      </x:c>
      <x:c r="C107" t="n">
        <x:v>5</x:v>
      </x:c>
      <x:c r="D107" t="n">
        <x:v>4</x:v>
      </x:c>
      <x:c r="E107" t="n">
        <x:v>25</x:v>
      </x:c>
      <x:c r="F107" t="n">
        <x:v>25</x:v>
      </x:c>
      <x:c r="G107" t="n">
        <x:v>0</x:v>
      </x:c>
      <x:c r="H107" t="str">
        <x:v>OK</x:v>
      </x:c>
    </x:row>
    <x:row r="108">
      <x:c r="A108" t="n">
        <x:v>107</x:v>
      </x:c>
      <x:c r="B108" t="str">
        <x:v>Pulicaria crispa Oliver</x:v>
      </x:c>
      <x:c r="C108" t="n">
        <x:v>6</x:v>
      </x:c>
      <x:c r="D108" t="n">
        <x:v>3</x:v>
      </x:c>
      <x:c r="E108" t="n">
        <x:v>22.5</x:v>
      </x:c>
      <x:c r="F108" t="n">
        <x:v>22.5</x:v>
      </x:c>
      <x:c r="G108" t="n">
        <x:v>0</x:v>
      </x:c>
      <x:c r="H108" t="str">
        <x:v>OK</x:v>
      </x:c>
    </x:row>
    <x:row r="109">
      <x:c r="A109" t="n">
        <x:v>108</x:v>
      </x:c>
      <x:c r="B109" t="str">
        <x:v>Punica granatum L.</x:v>
      </x:c>
      <x:c r="C109" t="n">
        <x:v>13</x:v>
      </x:c>
      <x:c r="D109" t="n">
        <x:v>4</x:v>
      </x:c>
      <x:c r="E109" t="n">
        <x:v>38.3</x:v>
      </x:c>
      <x:c r="F109" t="n">
        <x:v>38.3333</x:v>
      </x:c>
      <x:c r="G109" t="n">
        <x:v>-0.0333</x:v>
      </x:c>
      <x:c r="H109" t="str">
        <x:v>OK</x:v>
      </x:c>
    </x:row>
    <x:row r="110">
      <x:c r="A110" t="n">
        <x:v>109</x:v>
      </x:c>
      <x:c r="B110" t="str">
        <x:v>Ricinus communis L.</x:v>
      </x:c>
      <x:c r="C110" t="n">
        <x:v>14</x:v>
      </x:c>
      <x:c r="D110" t="n">
        <x:v>8</x:v>
      </x:c>
      <x:c r="E110" t="n">
        <x:v>56.7</x:v>
      </x:c>
      <x:c r="F110" t="n">
        <x:v>56.6667</x:v>
      </x:c>
      <x:c r="G110" t="n">
        <x:v>0.0333</x:v>
      </x:c>
      <x:c r="H110" t="str">
        <x:v>OK</x:v>
      </x:c>
    </x:row>
    <x:row r="111">
      <x:c r="A111" t="n">
        <x:v>110</x:v>
      </x:c>
      <x:c r="B111" t="str">
        <x:v>Saccharum spontaneum L.</x:v>
      </x:c>
      <x:c r="C111" t="n">
        <x:v>10</x:v>
      </x:c>
      <x:c r="D111" t="n">
        <x:v>7</x:v>
      </x:c>
      <x:c r="E111" t="n">
        <x:v>45.8</x:v>
      </x:c>
      <x:c r="F111" t="n">
        <x:v>45.8333</x:v>
      </x:c>
      <x:c r="G111" t="n">
        <x:v>-0.0333</x:v>
      </x:c>
      <x:c r="H111" t="str">
        <x:v>OK</x:v>
      </x:c>
    </x:row>
    <x:row r="112">
      <x:c r="A112" t="n">
        <x:v>111</x:v>
      </x:c>
      <x:c r="B112" t="str">
        <x:v>Salvadora oleoides Decne</x:v>
      </x:c>
      <x:c r="C112" t="n">
        <x:v>5</x:v>
      </x:c>
      <x:c r="D112" t="n">
        <x:v>2</x:v>
      </x:c>
      <x:c r="E112" t="n">
        <x:v>16.7</x:v>
      </x:c>
      <x:c r="F112" t="n">
        <x:v>16.6667</x:v>
      </x:c>
      <x:c r="G112" t="n">
        <x:v>0.0333</x:v>
      </x:c>
      <x:c r="H112" t="str">
        <x:v>OK</x:v>
      </x:c>
    </x:row>
    <x:row r="113">
      <x:c r="A113" t="n">
        <x:v>112</x:v>
      </x:c>
      <x:c r="B113" t="str">
        <x:v>Salvadora persica L.</x:v>
      </x:c>
      <x:c r="C113" t="n">
        <x:v>13</x:v>
      </x:c>
      <x:c r="D113" t="n">
        <x:v>6</x:v>
      </x:c>
      <x:c r="E113" t="n">
        <x:v>46.7</x:v>
      </x:c>
      <x:c r="F113" t="n">
        <x:v>46.6667</x:v>
      </x:c>
      <x:c r="G113" t="n">
        <x:v>0.0333</x:v>
      </x:c>
      <x:c r="H113" t="str">
        <x:v>OK</x:v>
      </x:c>
    </x:row>
    <x:row r="114">
      <x:c r="A114" t="n">
        <x:v>113</x:v>
      </x:c>
      <x:c r="B114" t="str">
        <x:v>Sarcostemma acidum Voigt</x:v>
      </x:c>
      <x:c r="C114" t="n">
        <x:v>3</x:v>
      </x:c>
      <x:c r="D114" t="n">
        <x:v>2</x:v>
      </x:c>
      <x:c r="E114" t="n">
        <x:v>13.3</x:v>
      </x:c>
      <x:c r="F114" t="n">
        <x:v>13.3333</x:v>
      </x:c>
      <x:c r="G114" t="n">
        <x:v>-0.0333</x:v>
      </x:c>
      <x:c r="H114" t="str">
        <x:v>OK</x:v>
      </x:c>
    </x:row>
    <x:row r="115">
      <x:c r="A115" t="n">
        <x:v>114</x:v>
      </x:c>
      <x:c r="B115" t="str">
        <x:v>Sida cordifolia L.</x:v>
      </x:c>
      <x:c r="C115" t="n">
        <x:v>12</x:v>
      </x:c>
      <x:c r="D115" t="n">
        <x:v>9</x:v>
      </x:c>
      <x:c r="E115" t="n">
        <x:v>57.5</x:v>
      </x:c>
      <x:c r="F115" t="n">
        <x:v>57.5</x:v>
      </x:c>
      <x:c r="G115" t="n">
        <x:v>0</x:v>
      </x:c>
      <x:c r="H115" t="str">
        <x:v>OK</x:v>
      </x:c>
    </x:row>
    <x:row r="116">
      <x:c r="A116" t="n">
        <x:v>115</x:v>
      </x:c>
      <x:c r="B116" t="str">
        <x:v>Solanum nigrum L.</x:v>
      </x:c>
      <x:c r="C116" t="n">
        <x:v>21</x:v>
      </x:c>
      <x:c r="D116" t="n">
        <x:v>8</x:v>
      </x:c>
      <x:c r="E116" t="n">
        <x:v>68.3</x:v>
      </x:c>
      <x:c r="F116" t="n">
        <x:v>68.3333</x:v>
      </x:c>
      <x:c r="G116" t="n">
        <x:v>-0.0333</x:v>
      </x:c>
      <x:c r="H116" t="str">
        <x:v>OK</x:v>
      </x:c>
    </x:row>
    <x:row r="117">
      <x:c r="A117" t="n">
        <x:v>116</x:v>
      </x:c>
      <x:c r="B117" t="str">
        <x:v>Solanum surattense Burm. f.</x:v>
      </x:c>
      <x:c r="C117" t="n">
        <x:v>16</x:v>
      </x:c>
      <x:c r="D117" t="n">
        <x:v>8</x:v>
      </x:c>
      <x:c r="E117" t="n">
        <x:v>60</x:v>
      </x:c>
      <x:c r="F117" t="n">
        <x:v>60</x:v>
      </x:c>
      <x:c r="G117" t="n">
        <x:v>0</x:v>
      </x:c>
      <x:c r="H117" t="str">
        <x:v>OK</x:v>
      </x:c>
    </x:row>
    <x:row r="118">
      <x:c r="A118" t="n">
        <x:v>117</x:v>
      </x:c>
      <x:c r="B118" t="str">
        <x:v>Solanum xanthcarpum Schrad. and Wendl.</x:v>
      </x:c>
      <x:c r="C118" t="n">
        <x:v>11</x:v>
      </x:c>
      <x:c r="D118" t="n">
        <x:v>6</x:v>
      </x:c>
      <x:c r="E118" t="n">
        <x:v>43.3</x:v>
      </x:c>
      <x:c r="F118" t="n">
        <x:v>43.3333</x:v>
      </x:c>
      <x:c r="G118" t="n">
        <x:v>-0.0333</x:v>
      </x:c>
      <x:c r="H118" t="str">
        <x:v>OK</x:v>
      </x:c>
    </x:row>
    <x:row r="119">
      <x:c r="A119" t="n">
        <x:v>118</x:v>
      </x:c>
      <x:c r="B119" t="str">
        <x:v>Sphaeranthus indicus L.</x:v>
      </x:c>
      <x:c r="C119" t="n">
        <x:v>18</x:v>
      </x:c>
      <x:c r="D119" t="n">
        <x:v>8</x:v>
      </x:c>
      <x:c r="E119" t="n">
        <x:v>63.3</x:v>
      </x:c>
      <x:c r="F119" t="n">
        <x:v>63.3333</x:v>
      </x:c>
      <x:c r="G119" t="n">
        <x:v>-0.0333</x:v>
      </x:c>
      <x:c r="H119" t="str">
        <x:v>OK</x:v>
      </x:c>
    </x:row>
    <x:row r="120">
      <x:c r="A120" t="n">
        <x:v>119</x:v>
      </x:c>
      <x:c r="B120" t="str">
        <x:v>Sisymbrium irio L.</x:v>
      </x:c>
      <x:c r="C120" t="n">
        <x:v>3</x:v>
      </x:c>
      <x:c r="D120" t="n">
        <x:v>2</x:v>
      </x:c>
      <x:c r="E120" t="n">
        <x:v>13.3</x:v>
      </x:c>
      <x:c r="F120" t="n">
        <x:v>13.3333</x:v>
      </x:c>
      <x:c r="G120" t="n">
        <x:v>-0.0333</x:v>
      </x:c>
      <x:c r="H120" t="str">
        <x:v>OK</x:v>
      </x:c>
    </x:row>
    <x:row r="121">
      <x:c r="A121" t="n">
        <x:v>120</x:v>
      </x:c>
      <x:c r="B121" t="str">
        <x:v>Tamarindus indica L.</x:v>
      </x:c>
      <x:c r="C121" t="n">
        <x:v>17</x:v>
      </x:c>
      <x:c r="D121" t="n">
        <x:v>5</x:v>
      </x:c>
      <x:c r="E121" t="n">
        <x:v>49.2</x:v>
      </x:c>
      <x:c r="F121" t="n">
        <x:v>49.1667</x:v>
      </x:c>
      <x:c r="G121" t="n">
        <x:v>0.0333</x:v>
      </x:c>
      <x:c r="H121" t="str">
        <x:v>OK</x:v>
      </x:c>
    </x:row>
    <x:row r="122">
      <x:c r="A122" t="n">
        <x:v>121</x:v>
      </x:c>
      <x:c r="B122" t="str">
        <x:v>Tecomella undulata (Sm) Seem. </x:v>
      </x:c>
      <x:c r="C122" t="n">
        <x:v>7</x:v>
      </x:c>
      <x:c r="D122" t="n">
        <x:v>5</x:v>
      </x:c>
      <x:c r="E122" t="n">
        <x:v>32.5</x:v>
      </x:c>
      <x:c r="F122" t="n">
        <x:v>32.5</x:v>
      </x:c>
      <x:c r="G122" t="n">
        <x:v>0</x:v>
      </x:c>
      <x:c r="H122" t="str">
        <x:v>OK</x:v>
      </x:c>
    </x:row>
    <x:row r="123">
      <x:c r="A123" t="n">
        <x:v>122</x:v>
      </x:c>
      <x:c r="B123" t="str">
        <x:v>Tephrosia purpurea (L.) Pers.</x:v>
      </x:c>
      <x:c r="C123" t="n">
        <x:v>16</x:v>
      </x:c>
      <x:c r="D123" t="n">
        <x:v>6</x:v>
      </x:c>
      <x:c r="E123" t="n">
        <x:v>51.7</x:v>
      </x:c>
      <x:c r="F123" t="n">
        <x:v>51.6667</x:v>
      </x:c>
      <x:c r="G123" t="n">
        <x:v>0.0333</x:v>
      </x:c>
      <x:c r="H123" t="str">
        <x:v>OK</x:v>
      </x:c>
    </x:row>
    <x:row r="124">
      <x:c r="A124" t="n">
        <x:v>123</x:v>
      </x:c>
      <x:c r="B124" t="str">
        <x:v>Terminalia arjuna (Roxb) Wt and Arn.</x:v>
      </x:c>
      <x:c r="C124" t="n">
        <x:v>20</x:v>
      </x:c>
      <x:c r="D124" t="n">
        <x:v>9</x:v>
      </x:c>
      <x:c r="E124" t="n">
        <x:v>70.8</x:v>
      </x:c>
      <x:c r="F124" t="n">
        <x:v>70.8333</x:v>
      </x:c>
      <x:c r="G124" t="n">
        <x:v>-0.0333</x:v>
      </x:c>
      <x:c r="H124" t="str">
        <x:v>OK</x:v>
      </x:c>
    </x:row>
    <x:row r="125">
      <x:c r="A125" t="n">
        <x:v>124</x:v>
      </x:c>
      <x:c r="B125" t="str">
        <x:v>Trianthema portulacastrum L.</x:v>
      </x:c>
      <x:c r="C125" t="n">
        <x:v>11</x:v>
      </x:c>
      <x:c r="D125" t="n">
        <x:v>8</x:v>
      </x:c>
      <x:c r="E125" t="n">
        <x:v>51.7</x:v>
      </x:c>
      <x:c r="F125" t="n">
        <x:v>51.6667</x:v>
      </x:c>
      <x:c r="G125" t="n">
        <x:v>0.0333</x:v>
      </x:c>
      <x:c r="H125" t="str">
        <x:v>OK</x:v>
      </x:c>
    </x:row>
    <x:row r="126">
      <x:c r="A126" t="n">
        <x:v>125</x:v>
      </x:c>
      <x:c r="B126" t="str">
        <x:v>Tinospora cordifolia (Willd.) Miers ex Hook. f. and Thoms.</x:v>
      </x:c>
      <x:c r="C126" t="n">
        <x:v>12</x:v>
      </x:c>
      <x:c r="D126" t="n">
        <x:v>8</x:v>
      </x:c>
      <x:c r="E126" t="n">
        <x:v>53.3</x:v>
      </x:c>
      <x:c r="F126" t="n">
        <x:v>53.3333</x:v>
      </x:c>
      <x:c r="G126" t="n">
        <x:v>-0.0333</x:v>
      </x:c>
      <x:c r="H126" t="str">
        <x:v>OK</x:v>
      </x:c>
    </x:row>
    <x:row r="127">
      <x:c r="A127" t="n">
        <x:v>126</x:v>
      </x:c>
      <x:c r="B127" t="str">
        <x:v>Tribulus terrestris L.</x:v>
      </x:c>
      <x:c r="C127" t="n">
        <x:v>12</x:v>
      </x:c>
      <x:c r="D127" t="n">
        <x:v>4</x:v>
      </x:c>
      <x:c r="E127" t="n">
        <x:v>36.7</x:v>
      </x:c>
      <x:c r="F127" t="n">
        <x:v>36.6667</x:v>
      </x:c>
      <x:c r="G127" t="n">
        <x:v>0.0333</x:v>
      </x:c>
      <x:c r="H127" t="str">
        <x:v>OK</x:v>
      </x:c>
    </x:row>
    <x:row r="128">
      <x:c r="A128" t="n">
        <x:v>127</x:v>
      </x:c>
      <x:c r="B128" t="str">
        <x:v>Trigonella foenum-graecum L.</x:v>
      </x:c>
      <x:c r="C128" t="n">
        <x:v>15</x:v>
      </x:c>
      <x:c r="D128" t="n">
        <x:v>6</x:v>
      </x:c>
      <x:c r="E128" t="n">
        <x:v>50</x:v>
      </x:c>
      <x:c r="F128" t="n">
        <x:v>50</x:v>
      </x:c>
      <x:c r="G128" t="n">
        <x:v>0</x:v>
      </x:c>
      <x:c r="H128" t="str">
        <x:v>OK</x:v>
      </x:c>
    </x:row>
    <x:row r="129">
      <x:c r="A129" t="n">
        <x:v>128</x:v>
      </x:c>
      <x:c r="B129" t="str">
        <x:v>Tylophora indica (Burm. f.) Merrill</x:v>
      </x:c>
      <x:c r="C129" t="n">
        <x:v>8</x:v>
      </x:c>
      <x:c r="D129" t="n">
        <x:v>4</x:v>
      </x:c>
      <x:c r="E129" t="n">
        <x:v>30</x:v>
      </x:c>
      <x:c r="F129" t="n">
        <x:v>30</x:v>
      </x:c>
      <x:c r="G129" t="n">
        <x:v>0</x:v>
      </x:c>
      <x:c r="H129" t="str">
        <x:v>OK</x:v>
      </x:c>
    </x:row>
    <x:row r="130">
      <x:c r="A130" t="n">
        <x:v>129</x:v>
      </x:c>
      <x:c r="B130" t="str">
        <x:v>Urginea indica Kunth.</x:v>
      </x:c>
      <x:c r="C130" t="n">
        <x:v>13</x:v>
      </x:c>
      <x:c r="D130" t="n">
        <x:v>5</x:v>
      </x:c>
      <x:c r="E130" t="n">
        <x:v>42.5</x:v>
      </x:c>
      <x:c r="F130" t="n">
        <x:v>42.5</x:v>
      </x:c>
      <x:c r="G130" t="n">
        <x:v>0</x:v>
      </x:c>
      <x:c r="H130" t="str">
        <x:v>OK</x:v>
      </x:c>
    </x:row>
    <x:row r="131">
      <x:c r="A131" t="n">
        <x:v>130</x:v>
      </x:c>
      <x:c r="B131" t="str">
        <x:v>Vernonia cinerea Less.</x:v>
      </x:c>
      <x:c r="C131" t="n">
        <x:v>18</x:v>
      </x:c>
      <x:c r="D131" t="n">
        <x:v>8</x:v>
      </x:c>
      <x:c r="E131" t="n">
        <x:v>63.3</x:v>
      </x:c>
      <x:c r="F131" t="n">
        <x:v>63.3333</x:v>
      </x:c>
      <x:c r="G131" t="n">
        <x:v>-0.0333</x:v>
      </x:c>
      <x:c r="H131" t="str">
        <x:v>OK</x:v>
      </x:c>
    </x:row>
    <x:row r="132">
      <x:c r="A132" t="n">
        <x:v>131</x:v>
      </x:c>
      <x:c r="B132" t="str">
        <x:v>Vetiveria zizanoides (L.) Nash</x:v>
      </x:c>
      <x:c r="C132" t="n">
        <x:v>12</x:v>
      </x:c>
      <x:c r="D132" t="n">
        <x:v>9</x:v>
      </x:c>
      <x:c r="E132" t="n">
        <x:v>57.5</x:v>
      </x:c>
      <x:c r="F132" t="n">
        <x:v>57.5</x:v>
      </x:c>
      <x:c r="G132" t="n">
        <x:v>0</x:v>
      </x:c>
      <x:c r="H132" t="str">
        <x:v>OK</x:v>
      </x:c>
    </x:row>
    <x:row r="133">
      <x:c r="A133" t="n">
        <x:v>132</x:v>
      </x:c>
      <x:c r="B133" t="str">
        <x:v>Vitex negundo L.</x:v>
      </x:c>
      <x:c r="C133" t="n">
        <x:v>17</x:v>
      </x:c>
      <x:c r="D133" t="n">
        <x:v>8</x:v>
      </x:c>
      <x:c r="E133" t="n">
        <x:v>61.7</x:v>
      </x:c>
      <x:c r="F133" t="n">
        <x:v>61.6667</x:v>
      </x:c>
      <x:c r="G133" t="n">
        <x:v>0.0333</x:v>
      </x:c>
      <x:c r="H133" t="str">
        <x:v>OK</x:v>
      </x:c>
    </x:row>
    <x:row r="134">
      <x:c r="A134" t="n">
        <x:v>133</x:v>
      </x:c>
      <x:c r="B134" t="str">
        <x:v>Withania somifera Dunal</x:v>
      </x:c>
      <x:c r="C134" t="n">
        <x:v>15</x:v>
      </x:c>
      <x:c r="D134" t="n">
        <x:v>9</x:v>
      </x:c>
      <x:c r="E134" t="n">
        <x:v>62.5</x:v>
      </x:c>
      <x:c r="F134" t="n">
        <x:v>62.5</x:v>
      </x:c>
      <x:c r="G134" t="n">
        <x:v>0</x:v>
      </x:c>
      <x:c r="H134" t="str">
        <x:v>OK</x:v>
      </x:c>
    </x:row>
    <x:row r="135">
      <x:c r="A135" t="n">
        <x:v>134</x:v>
      </x:c>
      <x:c r="B135" t="str">
        <x:v>Ziziphus mauritiana Lam.</x:v>
      </x:c>
      <x:c r="C135" t="n">
        <x:v>15</x:v>
      </x:c>
      <x:c r="D135" t="n">
        <x:v>6</x:v>
      </x:c>
      <x:c r="E135" t="n">
        <x:v>50</x:v>
      </x:c>
      <x:c r="F135" t="n">
        <x:v>50</x:v>
      </x:c>
      <x:c r="G135" t="n">
        <x:v>0</x:v>
      </x:c>
      <x:c r="H135" t="str">
        <x:v>OK</x:v>
      </x:c>
    </x:row>
    <x:row r="136">
      <x:c r="A136" t="n">
        <x:v>135</x:v>
      </x:c>
      <x:c r="B136" t="str">
        <x:v>Ziziphus nummularia (Burm. f.) Wight and Arn.</x:v>
      </x:c>
      <x:c r="C136" t="n">
        <x:v>7</x:v>
      </x:c>
      <x:c r="D136" t="n">
        <x:v>4</x:v>
      </x:c>
      <x:c r="E136" t="n">
        <x:v>28.3</x:v>
      </x:c>
      <x:c r="F136" t="n">
        <x:v>28.3333</x:v>
      </x:c>
      <x:c r="G136" t="n">
        <x:v>-0.0333</x:v>
      </x:c>
      <x:c r="H136" t="str">
        <x:v>OK</x:v>
      </x:c>
    </x:row>
    <x:row r="137">
      <x:c r="A137" t="n">
        <x:v>136</x:v>
      </x:c>
      <x:c r="B137" t="str">
        <x:v>Zygophyllum simplex L.</x:v>
      </x:c>
      <x:c r="C137" t="n">
        <x:v>4</x:v>
      </x:c>
      <x:c r="D137" t="n">
        <x:v>2</x:v>
      </x:c>
      <x:c r="E137" t="n">
        <x:v>15</x:v>
      </x:c>
      <x:c r="F137" t="n">
        <x:v>15</x:v>
      </x:c>
      <x:c r="G137" t="n">
        <x:v>0</x:v>
      </x:c>
      <x:c r="H137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18" hidden="0" customWidth="1"/>
    <x:col min="4" max="4" width="27" hidden="0" customWidth="1"/>
    <x:col min="5" max="5" width="29" hidden="0" customWidth="1"/>
    <x:col min="6" max="6" width="37" hidden="0" customWidth="1"/>
    <x:col min="7" max="7" width="15" hidden="0" customWidth="1"/>
    <x:col min="8" max="8" width="49" hidden="0" customWidth="1"/>
    <x:col min="9" max="9" width="67" hidden="0" customWidth="1"/>
  </x:cols>
  <x:sheetData>
    <x:row r="1" ht="31" customHeight="1">
      <x:c r="A1" s="12" t="str">
        <x:v>No.</x:v>
      </x:c>
      <x:c r="B1" s="12" t="str">
        <x:v>Index</x:v>
      </x:c>
      <x:c r="C1" s="12" t="str">
        <x:v>Symbol</x:v>
      </x:c>
      <x:c r="D1" s="12" t="str">
        <x:v>Source attribution (supplied)</x:v>
      </x:c>
      <x:c r="E1" s="12" t="str">
        <x:v>App-ready expression</x:v>
      </x:c>
      <x:c r="F1" s="12" t="str">
        <x:v>Required input</x:v>
      </x:c>
      <x:c r="G1" s="12" t="str">
        <x:v>Range</x:v>
      </x:c>
      <x:c r="H1" s="12" t="str">
        <x:v>Verification status</x:v>
      </x:c>
      <x:c r="I1" s="12" t="str">
        <x:v>Implementation note</x:v>
      </x:c>
    </x:row>
    <x:row r="2" ht="54" customHeight="1">
      <x:c r="A2" s="7" t="n">
        <x:v>11</x:v>
      </x:c>
      <x:c r="B2" s="7" t="str">
        <x:v>Importance Value</x:v>
      </x:c>
      <x:c r="C2" s="7" t="str">
        <x:v>IVs</x:v>
      </x:c>
      <x:c r="D2" s="7" t="str">
        <x:v>Byg and Balslev (2001)</x:v>
      </x:c>
      <x:c r="E2" s="7" t="str">
        <x:v>n_important_s / N</x:v>
      </x:c>
      <x:c r="F2" s="7" t="str">
        <x:v>Informant x species most-important choice</x:v>
      </x:c>
      <x:c r="G2" s="7" t="str">
        <x:v>0–1</x:v>
      </x:c>
      <x:c r="H2" s="7" t="str">
        <x:v>Implementable; one response per informant/species</x:v>
      </x:c>
      <x:c r="I2" s="7" t="str">
        <x:v>Denominator all eligible informants; define multiple nominations policy</x:v>
      </x:c>
    </x:row>
    <x:row r="3" ht="54" customHeight="1">
      <x:c r="A3" s="7" t="n">
        <x:v>12</x:v>
      </x:c>
      <x:c r="B3" s="7" t="str">
        <x:v>Total Species Equitability</x:v>
      </x:c>
      <x:c r="C3" s="7" t="str">
        <x:v>SEtot</x:v>
      </x:c>
      <x:c r="D3" s="7" t="str">
        <x:v>Byg and Balslev (2001)</x:v>
      </x:c>
      <x:c r="E3" s="7" t="str">
        <x:v>SDtot / S (as supplied; SDtot undefined)</x:v>
      </x:c>
      <x:c r="F3" s="7" t="str">
        <x:v>Species x contribution to total palm use</x:v>
      </x:c>
      <x:c r="G3" s="7" t="str">
        <x:v>Claimed 0–1</x:v>
      </x:c>
      <x:c r="H3" s="7" t="str">
        <x:v>BLOCKED: verify SDtot and original equation</x:v>
      </x:c>
      <x:c r="I3" s="7" t="str">
        <x:v>Do not substitute Pielou evenness without source verification</x:v>
      </x:c>
    </x:row>
    <x:row r="4" ht="54" customHeight="1">
      <x:c r="A4" s="7" t="n">
        <x:v>13</x:v>
      </x:c>
      <x:c r="B4" s="7" t="str">
        <x:v>Use Consensus Value</x:v>
      </x:c>
      <x:c r="C4" s="7" t="str">
        <x:v>UCs</x:v>
      </x:c>
      <x:c r="D4" s="7" t="str">
        <x:v>Byg and Balslev (2001)</x:v>
      </x:c>
      <x:c r="E4" s="7" t="str">
        <x:v>2*n_useful_s/N - 1</x:v>
      </x:c>
      <x:c r="F4" s="7" t="str">
        <x:v>Informant x species binary useful judgement</x:v>
      </x:c>
      <x:c r="G4" s="7" t="str">
        <x:v>−1 to +1</x:v>
      </x:c>
      <x:c r="H4" s="7" t="str">
        <x:v>Corrected; conditional on binary coding</x:v>
      </x:c>
      <x:c r="I4" s="7" t="str">
        <x:v>Zero = 50% useful, not high consensus; missing answers excluded only under documented policy</x:v>
      </x:c>
    </x:row>
    <x:row r="5" ht="54" customHeight="1">
      <x:c r="A5" s="7" t="n">
        <x:v>14</x:v>
      </x:c>
      <x:c r="B5" s="7" t="str">
        <x:v>Author Citation Consensus</x:v>
      </x:c>
      <x:c r="C5" s="7" t="str">
        <x:v>Author citation %</x:v>
      </x:c>
      <x:c r="D5" s="7" t="str">
        <x:v>Molares and Ladio (2009)</x:v>
      </x:c>
      <x:c r="E5" s="7" t="str">
        <x:v>100*A_citing/A_total</x:v>
      </x:c>
      <x:c r="F5" s="7" t="str">
        <x:v>Author ID x species/family cited</x:v>
      </x:c>
      <x:c r="G5" s="7" t="str">
        <x:v>0–100%</x:v>
      </x:c>
      <x:c r="H5" s="7" t="str">
        <x:v>Implementable; citation unit must be author</x:v>
      </x:c>
      <x:c r="I5" s="7" t="str">
        <x:v>Deduplicate multiple publications from same author; specify corpus and authorship rules</x:v>
      </x:c>
    </x:row>
    <x:row r="6" ht="54" customHeight="1">
      <x:c r="A6" s="7" t="n">
        <x:v>15</x:v>
      </x:c>
      <x:c r="B6" s="7" t="str">
        <x:v>Consensus Index</x:v>
      </x:c>
      <x:c r="C6" s="7" t="str">
        <x:v>Citation count</x:v>
      </x:c>
      <x:c r="D6" s="7" t="str">
        <x:v>Lozada et al. (2006)</x:v>
      </x:c>
      <x:c r="E6" s="7" t="str">
        <x:v>Number of distinct informants citing species</x:v>
      </x:c>
      <x:c r="F6" s="7" t="str">
        <x:v>Informant ID x species useful citation</x:v>
      </x:c>
      <x:c r="G6" s="7" t="str">
        <x:v>0–N</x:v>
      </x:c>
      <x:c r="H6" s="7" t="str">
        <x:v>Count implementable; index name/source interpretation verify</x:v>
      </x:c>
      <x:c r="I6" s="7" t="str">
        <x:v>Not normalized; same respondent counted once per species</x:v>
      </x:c>
    </x:row>
    <x:row r="7" ht="54" customHeight="1">
      <x:c r="A7" s="7" t="n">
        <x:v>16</x:v>
      </x:c>
      <x:c r="B7" s="7" t="str">
        <x:v>Consensus for Plant Part</x:v>
      </x:c>
      <x:c r="C7" s="7" t="str">
        <x:v>CPP</x:v>
      </x:c>
      <x:c r="D7" s="7" t="str">
        <x:v>Monteiro et al. (2006)</x:v>
      </x:c>
      <x:c r="E7" s="7" t="str">
        <x:v>C_part/C_all_parts</x:v>
      </x:c>
      <x:c r="F7" s="7" t="str">
        <x:v>Species x informant x plant part citation</x:v>
      </x:c>
      <x:c r="G7" s="7" t="str">
        <x:v>0–1</x:v>
      </x:c>
      <x:c r="H7" s="7" t="str">
        <x:v>Implementable conditional on citation unit</x:v>
      </x:c>
      <x:c r="I7" s="7" t="str">
        <x:v>Multiple parts in a report: one per part or single primary part, declare rule</x:v>
      </x:c>
    </x:row>
    <x:row r="8" ht="54" customHeight="1">
      <x:c r="A8" s="7" t="n">
        <x:v>17</x:v>
      </x:c>
      <x:c r="B8" s="7" t="str">
        <x:v>Consensus for Substitutes</x:v>
      </x:c>
      <x:c r="C8" s="7" t="str">
        <x:v>CVS</x:v>
      </x:c>
      <x:c r="D8" s="7" t="str">
        <x:v>Monteiro et al. (2006)</x:v>
      </x:c>
      <x:c r="E8" s="7" t="str">
        <x:v>C_substitute/C_all_substitutes</x:v>
      </x:c>
      <x:c r="F8" s="7" t="str">
        <x:v>Target species x substitute x citation</x:v>
      </x:c>
      <x:c r="G8" s="7" t="str">
        <x:v>0–1</x:v>
      </x:c>
      <x:c r="H8" s="7" t="str">
        <x:v>Implementable conditional on citation unit</x:v>
      </x:c>
      <x:c r="I8" s="7" t="str">
        <x:v>Do not merge substitutes across unrelated target plants</x:v>
      </x:c>
    </x:row>
    <x:row r="9" ht="54" customHeight="1">
      <x:c r="A9" s="7" t="n">
        <x:v>18</x:v>
      </x:c>
      <x:c r="B9" s="7" t="str">
        <x:v>Consensus for Collection Site</x:v>
      </x:c>
      <x:c r="C9" s="7" t="str">
        <x:v>CCS</x:v>
      </x:c>
      <x:c r="D9" s="7" t="str">
        <x:v>Monteiro et al. (2006)</x:v>
      </x:c>
      <x:c r="E9" s="7" t="str">
        <x:v>C_site/C_all_sites</x:v>
      </x:c>
      <x:c r="F9" s="7" t="str">
        <x:v>Species x collection site x citation</x:v>
      </x:c>
      <x:c r="G9" s="7" t="str">
        <x:v>0–1</x:v>
      </x:c>
      <x:c r="H9" s="7" t="str">
        <x:v>Implementable conditional on citation unit</x:v>
      </x:c>
      <x:c r="I9" s="7" t="str">
        <x:v>Correct notation Sx/St but sites not substitute species</x:v>
      </x:c>
    </x:row>
    <x:row r="10" ht="54" customHeight="1">
      <x:c r="A10" s="7" t="n">
        <x:v>19</x:v>
      </x:c>
      <x:c r="B10" s="7" t="str">
        <x:v>Consensus for Manner of Usage</x:v>
      </x:c>
      <x:c r="C10" s="7" t="str">
        <x:v>CMU</x:v>
      </x:c>
      <x:c r="D10" s="7" t="str">
        <x:v>Monteiro et al. (2006)</x:v>
      </x:c>
      <x:c r="E10" s="7" t="str">
        <x:v>C_manner/C_all_manners</x:v>
      </x:c>
      <x:c r="F10" s="7" t="str">
        <x:v>Species x usage manner x citation</x:v>
      </x:c>
      <x:c r="G10" s="7" t="str">
        <x:v>0–1</x:v>
      </x:c>
      <x:c r="H10" s="7" t="str">
        <x:v>Implementable conditional on citation unit</x:v>
      </x:c>
      <x:c r="I10" s="7" t="str">
        <x:v>Define manner vocabulary; do not pool species unintentionally</x:v>
      </x:c>
    </x:row>
    <x:row r="11" ht="54" customHeight="1">
      <x:c r="A11" s="7" t="n">
        <x:v>20</x:v>
      </x:c>
      <x:c r="B11" s="7" t="str">
        <x:v>Consensus for Collection Period</x:v>
      </x:c>
      <x:c r="C11" s="7" t="str">
        <x:v>CTC</x:v>
      </x:c>
      <x:c r="D11" s="7" t="str">
        <x:v>Monteiro et al. (2006)</x:v>
      </x:c>
      <x:c r="E11" s="7" t="str">
        <x:v>C_period/C_all_periods</x:v>
      </x:c>
      <x:c r="F11" s="7" t="str">
        <x:v>Species x collection period x citation</x:v>
      </x:c>
      <x:c r="G11" s="7" t="str">
        <x:v>0–1</x:v>
      </x:c>
      <x:c r="H11" s="7" t="str">
        <x:v>Implementable conditional on citation unit</x:v>
      </x:c>
      <x:c r="I11" s="7" t="str">
        <x:v>Time periods must be mutually exclusive or multi-label policy specified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7" hidden="0" customWidth="1"/>
    <x:col min="4" max="4" width="21" hidden="0" customWidth="1"/>
    <x:col min="5" max="5" width="63" hidden="0" customWidth="1"/>
  </x:cols>
  <x:sheetData>
    <x:row r="1">
      <x:c r="A1" s="12" t="str">
        <x:v>Formula</x:v>
      </x:c>
      <x:c r="B1" s="12" t="str">
        <x:v>Numerator</x:v>
      </x:c>
      <x:c r="C1" s="12" t="str">
        <x:v>Denominator</x:v>
      </x:c>
      <x:c r="D1" s="12" t="str">
        <x:v>Calculated result</x:v>
      </x:c>
      <x:c r="E1" s="12" t="str">
        <x:v>Explanation</x:v>
      </x:c>
    </x:row>
    <x:row r="2">
      <x:c r="A2" t="str">
        <x:v>IVs</x:v>
      </x:c>
      <x:c r="B2" t="n">
        <x:v>8</x:v>
      </x:c>
      <x:c r="C2" t="n">
        <x:v>20</x:v>
      </x:c>
      <x:c r="D2" t="n">
        <x:f>B2/C2</x:f>
        <x:v>0.4</x:v>
      </x:c>
      <x:c r="E2" t="str">
        <x:v>8 of 20 respondents select species as most important</x:v>
      </x:c>
    </x:row>
    <x:row r="3">
      <x:c r="A3" t="str">
        <x:v>UCs</x:v>
      </x:c>
      <x:c r="B3" t="n">
        <x:v>15</x:v>
      </x:c>
      <x:c r="C3" t="n">
        <x:v>20</x:v>
      </x:c>
      <x:c r="D3" t="n">
        <x:f>2*B3/C3-1</x:f>
        <x:v>0.5</x:v>
      </x:c>
      <x:c r="E3" t="str">
        <x:v>15 of 20 regard species as useful</x:v>
      </x:c>
    </x:row>
    <x:row r="4">
      <x:c r="A4" t="str">
        <x:v>Author citation %</x:v>
      </x:c>
      <x:c r="B4" t="n">
        <x:v>6</x:v>
      </x:c>
      <x:c r="C4" t="n">
        <x:v>12</x:v>
      </x:c>
      <x:c r="D4" t="n">
        <x:f>100*B4/C4</x:f>
        <x:v>50</x:v>
      </x:c>
      <x:c r="E4" t="str">
        <x:v>6 of 12 authors cite species</x:v>
      </x:c>
    </x:row>
    <x:row r="5">
      <x:c r="A5" t="str">
        <x:v>Citation count</x:v>
      </x:c>
      <x:c r="B5" t="n">
        <x:v>8</x:v>
      </x:c>
      <x:c r="C5"/>
      <x:c r="D5" t="n">
        <x:v>8</x:v>
      </x:c>
      <x:c r="E5" t="str">
        <x:v>8 distinct informants cite species</x:v>
      </x:c>
    </x:row>
    <x:row r="6">
      <x:c r="A6" t="str">
        <x:v>CPP</x:v>
      </x:c>
      <x:c r="B6" t="n">
        <x:v>12</x:v>
      </x:c>
      <x:c r="C6" t="n">
        <x:v>30</x:v>
      </x:c>
      <x:c r="D6" t="n">
        <x:f>B6/C6</x:f>
        <x:v>0.4</x:v>
      </x:c>
      <x:c r="E6" t="str">
        <x:v>12 plant-part citations of 30</x:v>
      </x:c>
    </x:row>
    <x:row r="7">
      <x:c r="A7" t="str">
        <x:v>CVS</x:v>
      </x:c>
      <x:c r="B7" t="n">
        <x:v>9</x:v>
      </x:c>
      <x:c r="C7" t="n">
        <x:v>18</x:v>
      </x:c>
      <x:c r="D7" t="n">
        <x:f>B7/C7</x:f>
        <x:v>0.5</x:v>
      </x:c>
      <x:c r="E7" t="str">
        <x:v>9 substitute citations of 18</x:v>
      </x:c>
    </x:row>
    <x:row r="8">
      <x:c r="A8" t="str">
        <x:v>CTC</x:v>
      </x:c>
      <x:c r="B8" t="n">
        <x:v>7</x:v>
      </x:c>
      <x:c r="C8" t="n">
        <x:v>20</x:v>
      </x:c>
      <x:c r="D8" t="n">
        <x:f>B8/C8</x:f>
        <x:v>0.35</x:v>
      </x:c>
      <x:c r="E8" t="str">
        <x:v>7 period citations of 20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65" hidden="0" customWidth="1"/>
    <x:col min="5" max="5" width="65" hidden="0" customWidth="1"/>
    <x:col min="6" max="6" width="53" hidden="0" customWidth="1"/>
    <x:col min="7" max="7" width="53" hidden="0" customWidth="1"/>
  </x:cols>
  <x:sheetData>
    <x:row r="1">
      <x:c r="A1" s="16" t="str">
        <x:v>ID</x:v>
      </x:c>
      <x:c r="B1" s="16" t="str">
        <x:v>Index</x:v>
      </x:c>
      <x:c r="C1" s="16" t="str">
        <x:v>Attribution supplied</x:v>
      </x:c>
      <x:c r="D1" s="16" t="str">
        <x:v>Source formula</x:v>
      </x:c>
      <x:c r="E1" s="16" t="str">
        <x:v>App expression / decision</x:v>
      </x:c>
      <x:c r="F1" s="16" t="str">
        <x:v>Input columns</x:v>
      </x:c>
      <x:c r="G1" s="16" t="str">
        <x:v>Verification status</x:v>
      </x:c>
    </x:row>
    <x:row r="2" ht="62" customHeight="1">
      <x:c r="A2" s="7" t="n">
        <x:v>21</x:v>
      </x:c>
      <x:c r="B2" s="7" t="str">
        <x:v>Consensus Value for Use-Types (CUT)</x:v>
      </x:c>
      <x:c r="C2" s="7" t="str">
        <x:v>Monteiro et al. (2006)</x:v>
      </x:c>
      <x:c r="D2" s="7" t="str">
        <x:v>CUT=(TU/Ut)/S [as supplied]</x:v>
      </x:c>
      <x:c r="E2" s="7" t="str">
        <x:v>Ambiguous: (TU/Ut)/S versus TU/(Ut*S); do not enable without source equation</x:v>
      </x:c>
      <x:c r="F2" s="7" t="str">
        <x:v>species,use_type,report_id,informant_id</x:v>
      </x:c>
      <x:c r="G2" s="7" t="str">
        <x:v>HOLD: original formula and meaning of S needed</x:v>
      </x:c>
    </x:row>
    <x:row r="3" ht="62" customHeight="1">
      <x:c r="A3" s="7" t="n">
        <x:v>22</x:v>
      </x:c>
      <x:c r="B3" s="7" t="str">
        <x:v>Cultural Value Index (CV)</x:v>
      </x:c>
      <x:c r="C3" s="7" t="str">
        <x:v>Reyes-García et al. (2006)</x:v>
      </x:c>
      <x:c r="D3" s="7" t="str">
        <x:v>CV=(NU_s/NC)*(FC_s/N)*sum_u(UR_su/N)</x:v>
      </x:c>
      <x:c r="E3" s="7" t="str">
        <x:v>CV=(NU_s/NC)*(FC_s/N)*Σ_u(UR_su/N); FC_s is distinct informants citing species</x:v>
      </x:c>
      <x:c r="F3" s="7" t="str">
        <x:v>species,informant_id,use_category,report_id</x:v>
      </x:c>
      <x:c r="G3" s="7" t="str">
        <x:v>Provisional: formula inferred from worked example; verify original</x:v>
      </x:c>
    </x:row>
    <x:row r="4" ht="62" customHeight="1">
      <x:c r="A4" s="7" t="n">
        <x:v>23</x:v>
      </x:c>
      <x:c r="B4" s="7" t="str">
        <x:v>Disease Consensus Index (DCI)</x:v>
      </x:c>
      <x:c r="C4" s="7" t="str">
        <x:v>Andrade-Cetto et al. (2006)</x:v>
      </x:c>
      <x:c r="D4" s="7" t="str">
        <x:v>Equation absent from supplied text</x:v>
      </x:c>
      <x:c r="E4" s="7" t="str">
        <x:v>No faithful reconstruction possible from variable definitions</x:v>
      </x:c>
      <x:c r="F4" s="7" t="str">
        <x:v>species,informant_id,disease,knowledge_binary,mention_binary,part,preparation</x:v>
      </x:c>
      <x:c r="G4" s="7" t="str">
        <x:v>HOLD: original equation and questionnaire/scoring needed</x:v>
      </x:c>
    </x:row>
    <x:row r="5" ht="62" customHeight="1">
      <x:c r="A5" s="7" t="n">
        <x:v>24</x:v>
      </x:c>
      <x:c r="B5" s="7" t="str">
        <x:v>Equitability (E)</x:v>
      </x:c>
      <x:c r="C5" s="7" t="str">
        <x:v>Begossi (1996)</x:v>
      </x:c>
      <x:c r="D5" s="7" t="str">
        <x:v>E=H/Hmax; H=-(pi ln pi); Hmax=ln R</x:v>
      </x:c>
      <x:c r="E5" s="7" t="str">
        <x:v>H=-Σ_s p_s ln(p_s); E=H/ln(R), R&gt;=2, p_s=citations_s/total</x:v>
      </x:c>
      <x:c r="F5" s="7" t="str">
        <x:v>species,citation_count</x:v>
      </x:c>
      <x:c r="G5" s="7" t="str">
        <x:v>Ready for computational tests; undefined if R&lt;2</x:v>
      </x:c>
    </x:row>
    <x:row r="6" ht="62" customHeight="1">
      <x:c r="A6" s="7" t="n">
        <x:v>25</x:v>
      </x:c>
      <x:c r="B6" s="7" t="str">
        <x:v>Index of Ethnobotanical Knowledge (M_g)</x:v>
      </x:c>
      <x:c r="C6" s="7" t="str">
        <x:v>Phillips and Gentry (1993a,b), attribution unverified</x:v>
      </x:c>
      <x:c r="D6" s="7" t="str">
        <x:v>M_gi=(1/n)Σ V_i</x:v>
      </x:c>
      <x:c r="E6" s="7" t="str">
        <x:v>M_g=(1/n_g)Σ_{i in group g} V_i; scoring of V_i must be defined</x:v>
      </x:c>
      <x:c r="F6" s="7" t="str">
        <x:v>informant_id,group,knowledge_score</x:v>
      </x:c>
      <x:c r="G6" s="7" t="str">
        <x:v>Conditional: user must define/validate knowledge scoring rubric</x:v>
      </x:c>
    </x:row>
    <x:row r="7" ht="62" customHeight="1">
      <x:c r="A7" s="7" t="n">
        <x:v>26</x:v>
      </x:c>
      <x:c r="B7" s="7" t="str">
        <x:v>Informant Diversity Value (ID_s)</x:v>
      </x:c>
      <x:c r="C7" s="7" t="str">
        <x:v>Byg and Balslev (2001)</x:v>
      </x:c>
      <x:c r="D7" s="7" t="str">
        <x:v>ID_s=1/Σ_i p_is²</x:v>
      </x:c>
      <x:c r="E7" s="7" t="str">
        <x:v>p_is=r_is/Σ_j r_js; ID_s=1/Σ_i p_is², range [1,k] for k positive contributors</x:v>
      </x:c>
      <x:c r="F7" s="7" t="str">
        <x:v>species,informant_id,use_report_count</x:v>
      </x:c>
      <x:c r="G7" s="7" t="str">
        <x:v>Ready for computational tests; undefined if no reports</x:v>
      </x:c>
    </x:row>
    <x:row r="8" ht="62" customHeight="1">
      <x:c r="A8" s="7" t="n">
        <x:v>27</x:v>
      </x:c>
      <x:c r="B8" s="7" t="str">
        <x:v>Informant Equitability Value (IE_s)</x:v>
      </x:c>
      <x:c r="C8" s="7" t="str">
        <x:v>Byg and Balslev (2001)</x:v>
      </x:c>
      <x:c r="D8" s="7" t="str">
        <x:v>IE_s=ID_s/ID_s,max</x:v>
      </x:c>
      <x:c r="E8" s="7" t="str">
        <x:v>IE_s=ID_s/k_s, where k_s=number of informants with positive reports; [1/k_s,1]</x:v>
      </x:c>
      <x:c r="F8" s="7" t="str">
        <x:v>species,informant_id,use_report_count</x:v>
      </x:c>
      <x:c r="G8" s="7" t="str">
        <x:v>Conditional: verify source defines IDmax=k; ready for computational tests</x:v>
      </x:c>
    </x:row>
    <x:row r="9" ht="62" customHeight="1">
      <x:c r="A9" s="7" t="n">
        <x:v>28</x:v>
      </x:c>
      <x:c r="B9" s="7" t="str">
        <x:v>Intra-specific Use Value (IUV)</x:v>
      </x:c>
      <x:c r="C9" s="7" t="str">
        <x:v>Gómez-Beloz (2002)</x:v>
      </x:c>
      <x:c r="D9" s="7" t="str">
        <x:v>IUV=SU[plant part]/RU[plant part]</x:v>
      </x:c>
      <x:c r="E9" s="7" t="str">
        <x:v>IUV_{s,p,u}=specific use reports(s,p,u)/all use reports(s,p)</x:v>
      </x:c>
      <x:c r="F9" s="7" t="str">
        <x:v>species,plant_part,specific_use,informant_id,report_id</x:v>
      </x:c>
      <x:c r="G9" s="7" t="str">
        <x:v>Ready for computational tests with explicit citation counting</x:v>
      </x:c>
    </x:row>
    <x:row r="10" ht="62" customHeight="1">
      <x:c r="A10" s="7" t="n">
        <x:v>29</x:v>
      </x:c>
      <x:c r="B10" s="7" t="str">
        <x:v>Mean Rank of Usefulness</x:v>
      </x:c>
      <x:c r="C10" s="7" t="str">
        <x:v>Lykke et al. (2004)</x:v>
      </x:c>
      <x:c r="D10" s="7" t="str">
        <x:v>Mean 0–2 rank per category; total=sum category means</x:v>
      </x:c>
      <x:c r="E10" s="7" t="str">
        <x:v>MR_{s,c}=(1/N_c)Σ_i rank_{i,s,c}; Total_s=Σ_c MR_{s,c}</x:v>
      </x:c>
      <x:c r="F10" s="7" t="str">
        <x:v>species,informant_id,use_category,usefulness_score</x:v>
      </x:c>
      <x:c r="G10" s="7" t="str">
        <x:v>Conditional: define missing responses and 0–2 rubric</x:v>
      </x:c>
    </x:row>
    <x:row r="11" ht="62" customHeight="1">
      <x:c r="A11" s="7" t="n">
        <x:v>30</x:v>
      </x:c>
      <x:c r="B11" s="7" t="str">
        <x:v>Family Use Value (FUV)</x:v>
      </x:c>
      <x:c r="C11" s="7" t="str">
        <x:v>Phillips and Gentry (1993b), attribution to verify</x:v>
      </x:c>
      <x:c r="D11" s="7" t="str">
        <x:v>FUV=Σ UV_is/n_f [symbols contradictory]</x:v>
      </x:c>
      <x:c r="E11" s="7" t="str">
        <x:v>FUV_f=(Σ_{s in f} UV_s)/S_f, where S_f=number of included species in family f</x:v>
      </x:c>
      <x:c r="F11" s="7" t="str">
        <x:v>family,species,species_UV</x:v>
      </x:c>
      <x:c r="G11" s="7" t="str">
        <x:v>Corrected denominator; ready for computational tests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14" t="str">
        <x:v>Index</x:v>
      </x:c>
      <x:c r="B1" s="14" t="str">
        <x:v>Input</x:v>
      </x:c>
      <x:c r="C1" s="14" t="str">
        <x:v>Expected result</x:v>
      </x:c>
      <x:c r="D1" s="14" t="str">
        <x:v>Interpretation</x:v>
      </x:c>
    </x:row>
    <x:row r="2">
      <x:c r="A2" t="str">
        <x:v>CV</x:v>
      </x:c>
      <x:c r="B2" t="str">
        <x:v>4/10 * 9/111 * (7+3+2+1)/111</x:v>
      </x:c>
      <x:c r="C2" t="n">
        <x:v>0.003798392987582177</x:v>
      </x:c>
      <x:c r="D2" t="str">
        <x:v>0.003799; supplied 0.0037 is not correct rounding to 4 dp</x:v>
      </x:c>
    </x:row>
    <x:row r="3">
      <x:c r="A3" t="str">
        <x:v>E</x:v>
      </x:c>
      <x:c r="B3" t="str">
        <x:v>citations 2,2</x:v>
      </x:c>
      <x:c r="C3" t="n">
        <x:v>1</x:v>
      </x:c>
      <x:c r="D3" t="str">
        <x:v>even distribution across 2 taxa</x:v>
      </x:c>
    </x:row>
    <x:row r="4">
      <x:c r="A4" t="str">
        <x:v>ID</x:v>
      </x:c>
      <x:c r="B4" t="str">
        <x:v>reports 2,1</x:v>
      </x:c>
      <x:c r="C4" t="n">
        <x:v>1.7999999999999998</x:v>
      </x:c>
      <x:c r="D4" t="str">
        <x:v>effective informants 1.8</x:v>
      </x:c>
    </x:row>
    <x:row r="5">
      <x:c r="A5" t="str">
        <x:v>IE</x:v>
      </x:c>
      <x:c r="B5" t="str">
        <x:v>ID 1.8 / 2</x:v>
      </x:c>
      <x:c r="C5" t="n">
        <x:v>0.9</x:v>
      </x:c>
      <x:c r="D5" t="str">
        <x:v>informant evenness</x:v>
      </x:c>
    </x:row>
    <x:row r="6">
      <x:c r="A6" t="str">
        <x:v>FUV</x:v>
      </x:c>
      <x:c r="B6" t="str">
        <x:v>species UV 2 and 4</x:v>
      </x:c>
      <x:c r="C6" t="n">
        <x:v>3</x:v>
      </x:c>
      <x:c r="D6" t="str">
        <x:v>mean across two species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8" hidden="0" customWidth="1"/>
    <x:col min="5" max="5" width="26" hidden="0" customWidth="1"/>
    <x:col min="6" max="6" width="52" hidden="0" customWidth="1"/>
    <x:col min="7" max="7" width="52" hidden="0" customWidth="1"/>
    <x:col min="8" max="8" width="26" hidden="0" customWidth="1"/>
  </x:cols>
  <x:sheetData>
    <x:row r="1">
      <x:c r="A1" s="20" t="str">
        <x:v>No.</x:v>
      </x:c>
      <x:c r="B1" s="20" t="str">
        <x:v>Index</x:v>
      </x:c>
      <x:c r="C1" s="20" t="str">
        <x:v>Supplied attribution</x:v>
      </x:c>
      <x:c r="D1" s="20" t="str">
        <x:v>App expression / method</x:v>
      </x:c>
      <x:c r="E1" s="20" t="str">
        <x:v>Input schema</x:v>
      </x:c>
      <x:c r="F1" s="20" t="str">
        <x:v>Validation / interpretation</x:v>
      </x:c>
      <x:c r="G1" s="20" t="str">
        <x:v>Status / source issue</x:v>
      </x:c>
      <x:c r="H1" s="20" t="str">
        <x:v>Shiny output</x:v>
      </x:c>
    </x:row>
    <x:row r="2">
      <x:c r="A2" s="7" t="n">
        <x:v>31</x:v>
      </x:c>
      <x:c r="B2" s="7" t="str">
        <x:v>Medicinal species vs family size (MSPE)</x:v>
      </x:c>
      <x:c r="C2" s="7" t="str">
        <x:v>Moerman (1991)</x:v>
      </x:c>
      <x:c r="D2" s="7" t="str">
        <x:v>predicted medicinal count = a + b * total species in family; residual = observed - predicted</x:v>
      </x:c>
      <x:c r="E2" s="7" t="str">
        <x:v>family,total_flora_species,medicinal_species</x:v>
      </x:c>
      <x:c r="F2" s="7" t="str">
        <x:v>Least squares regression; &gt;=3 families and nonconstant predictor; positive residual indicates overrepresentation</x:v>
      </x:c>
      <x:c r="G2" s="7" t="str">
        <x:v>Corrected missing multiplication and inconsistent MSPE/MPSPE/FPSPE names; source attribution unverified</x:v>
      </x:c>
      <x:c r="H2" s="7" t="str">
        <x:v>Family scatterplot with fitted line; residual ranks</x:v>
      </x:c>
    </x:row>
    <x:row r="3">
      <x:c r="A3" s="7" t="n">
        <x:v>32</x:v>
      </x:c>
      <x:c r="B3" s="7" t="str">
        <x:v>Quality Use Value (QUV)</x:v>
      </x:c>
      <x:c r="C3" s="7" t="str">
        <x:v>Thomas et al. (source not explicitly dated in entry)</x:v>
      </x:c>
      <x:c r="D3" s="7" t="str">
        <x:v>QUV_is = (sum over events e and uses u of quality_score_iseu)/n_is; QUV_s = sum_i QUV_is/n_s</x:v>
      </x:c>
      <x:c r="E3" s="7" t="str">
        <x:v>informant_id,species,event_id,use_id,quality_score</x:v>
      </x:c>
      <x:c r="F3" s="7" t="str">
        <x:v>Scores 1,0.5,0.25 as stated; zero-use events must be represented; average over events then informants</x:v>
      </x:c>
      <x:c r="G3" s="7" t="str">
        <x:v>Equations missing in plain text; reconstructed from narrative; confirm original</x:v>
      </x:c>
      <x:c r="H3" s="7" t="str">
        <x:v>Species ranking; category breakdown; quality distributions</x:v>
      </x:c>
    </x:row>
    <x:row r="4">
      <x:c r="A4" s="7" t="n">
        <x:v>33</x:v>
      </x:c>
      <x:c r="B4" s="7" t="str">
        <x:v>Quality Use Agreement Value (QUAV)</x:v>
      </x:c>
      <x:c r="C4" s="7" t="str">
        <x:v>Thomas et al. (2009)</x:v>
      </x:c>
      <x:c r="D4" s="7" t="str">
        <x:v>QUAV_s = QUV_s * IAR_s</x:v>
      </x:c>
      <x:c r="E4" s="7" t="str">
        <x:v>species,QUV,IAR; plus underlying consensus data</x:v>
      </x:c>
      <x:c r="F4" s="7" t="str">
        <x:v>IAR_s definition must match use-specific species context; do not substitute disease-category FIC</x:v>
      </x:c>
      <x:c r="G4" s="7" t="str">
        <x:v>Formula clear; species-specific IAR definition and data basis need confirmation</x:v>
      </x:c>
      <x:c r="H4" s="7" t="str">
        <x:v>Quality–agreement scatterplot</x:v>
      </x:c>
    </x:row>
    <x:row r="5">
      <x:c r="A5" s="7" t="n">
        <x:v>34</x:v>
      </x:c>
      <x:c r="B5" s="7" t="str">
        <x:v>Overall Use Value (OUV)</x:v>
      </x:c>
      <x:c r="C5" s="7" t="str">
        <x:v>Gomez-Beloz (2002); Guerrero et al. (2008)</x:v>
      </x:c>
      <x:c r="D5" s="7" t="str">
        <x:v>OUV_(s,p,u) = PPV_(s,p)*IUV_(s,p,u) = SU_(s,p,u)/total_RU_s; alternative Guerrero index separate</x:v>
      </x:c>
      <x:c r="E5" s="7" t="str">
        <x:v>species,plant_part,use_type,report_id; alternative needs group,use_frequency,quality</x:v>
      </x:c>
      <x:c r="F5" s="7" t="str">
        <x:v>PPV=RU_part/total_RU; IUV=SU_use_part/RU_part; cannot collapse across uses without clear definition</x:v>
      </x:c>
      <x:c r="G5" s="7" t="str">
        <x:v>Two distinct published approaches conflated; implement separately</x:v>
      </x:c>
      <x:c r="H5" s="7" t="str">
        <x:v>Plant part/use stacked bars; group comparison</x:v>
      </x:c>
    </x:row>
    <x:row r="6">
      <x:c r="A6" s="7" t="n">
        <x:v>35</x:v>
      </x:c>
      <x:c r="B6" s="7" t="str">
        <x:v>Performance Index (IP)</x:v>
      </x:c>
      <x:c r="C6" s="7" t="str">
        <x:v>Betti (2002)</x:v>
      </x:c>
      <x:c r="D6" s="7" t="str">
        <x:v>D=P1-P2; IP=0 if D&lt;=0; 1 if 0&lt;D&lt;=1/3; 2 if 1/3&lt;D&lt;=2/3; 3 if D&gt;2/3</x:v>
      </x:c>
      <x:c r="E6" s="7" t="str">
        <x:v>species,disease,citations; all disease citations for baseline</x:v>
      </x:c>
      <x:c r="F6" s="7" t="str">
        <x:v>P1 and P2 exact numerator and denominator require original publication; boundaries provisional</x:v>
      </x:c>
      <x:c r="G6" s="7" t="str">
        <x:v>HOLD: definitions ambiguous; bins provisional; no automatic publication-grade scores</x:v>
      </x:c>
      <x:c r="H6" s="7" t="str">
        <x:v>Disease-by-species performance heatmap after verification</x:v>
      </x:c>
    </x:row>
    <x:row r="7">
      <x:c r="A7" s="7" t="n">
        <x:v>36</x:v>
      </x:c>
      <x:c r="B7" s="7" t="str">
        <x:v>Plant Part Value (PPV)</x:v>
      </x:c>
      <x:c r="C7" s="7" t="str">
        <x:v>Gomez-Beloz (2002)</x:v>
      </x:c>
      <x:c r="D7" s="7" t="str">
        <x:v>PPV_(s,p) = RU_(s,p)/sum_p RU_(s,p)</x:v>
      </x:c>
      <x:c r="E7" s="7" t="str">
        <x:v>species,plant_part,report_id</x:v>
      </x:c>
      <x:c r="F7" s="7" t="str">
        <x:v>Count each report according to declared multi-part policy; denominator &gt;0</x:v>
      </x:c>
      <x:c r="G7" s="7" t="str">
        <x:v>Corrected missing division slash; ready for computational tests</x:v>
      </x:c>
      <x:c r="H7" s="7" t="str">
        <x:v>Part proportion chart</x:v>
      </x:c>
    </x:row>
    <x:row r="8">
      <x:c r="A8" s="7" t="n">
        <x:v>37</x:v>
      </x:c>
      <x:c r="B8" s="7" t="str">
        <x:v>Purpose Consensus (PC)</x:v>
      </x:c>
      <x:c r="C8" s="7" t="str">
        <x:v>Byg and Balslev (year not supplied)</x:v>
      </x:c>
      <x:c r="D8" s="7" t="str">
        <x:v>PC_s = sum_u p_(s,u)^2, p_(s,u)=c_(s,u)/sum_u c_(s,u) [provisional]</x:v>
      </x:c>
      <x:c r="E8" s="7" t="str">
        <x:v>species,use_type,report_id</x:v>
      </x:c>
      <x:c r="F8" s="7" t="str">
        <x:v>Concentration index range 1/k to 1; supplied /S conflicts with interpretation and undefined P2u</x:v>
      </x:c>
      <x:c r="G8" s="7" t="str">
        <x:v>HOLD: original expression ∑P2u/S ambiguous; confirm whether /S intended</x:v>
      </x:c>
      <x:c r="H8" s="7" t="str">
        <x:v>Purpose distribution and concentration</x:v>
      </x:c>
    </x:row>
    <x:row r="9">
      <x:c r="A9" s="7" t="n">
        <x:v>38</x:v>
      </x:c>
      <x:c r="B9" s="7" t="str">
        <x:v>Relative Frequency of Citation (RFC)</x:v>
      </x:c>
      <x:c r="C9" s="7" t="str">
        <x:v>Tardío and Pardo-de-Santayana (2008)</x:v>
      </x:c>
      <x:c r="D9" s="7" t="str">
        <x:v>RFC_s = FC_s/N</x:v>
      </x:c>
      <x:c r="E9" s="7" t="str">
        <x:v>species,informant_id; respondent roster</x:v>
      </x:c>
      <x:c r="F9" s="7" t="str">
        <x:v>Distinct informants per species; FC_s&lt;=N; 10/111=0.09009</x:v>
      </x:c>
      <x:c r="G9" s="7" t="str">
        <x:v>Mathematically checked; original equation missing in pasted text</x:v>
      </x:c>
      <x:c r="H9" s="7" t="str">
        <x:v>RFC species ranking</x:v>
      </x:c>
    </x:row>
    <x:row r="10">
      <x:c r="A10" s="7" t="n">
        <x:v>39</x:v>
      </x:c>
      <x:c r="B10" s="7" t="str">
        <x:v>Relative Importance (RI: versatility)</x:v>
      </x:c>
      <x:c r="C10" s="7" t="str">
        <x:v>Bennett and Prance (2000)</x:v>
      </x:c>
      <x:c r="D10" s="7" t="str">
        <x:v>RI_s = NUC_s/max(NUC) + NT_s/max(NT)</x:v>
      </x:c>
      <x:c r="E10" s="7" t="str">
        <x:v>species,use_category,use_type</x:v>
      </x:c>
      <x:c r="F10" s="7" t="str">
        <x:v>Separate categories from use types; 0–2 if maxima &gt;0; optional percentage RI/2*100 labeled</x:v>
      </x:c>
      <x:c r="G10" s="7" t="str">
        <x:v>Distinct from Formula 9 (medicinal properties and body systems); do not merge</x:v>
      </x:c>
      <x:c r="H10" s="7" t="str">
        <x:v>Versatility components; ranked scatterplot</x:v>
      </x:c>
    </x:row>
    <x:row r="11">
      <x:c r="A11" s="7" t="n">
        <x:v>40</x:v>
      </x:c>
      <x:c r="B11" s="7" t="str">
        <x:v>Relative Importance Index (RI: citation/category)</x:v>
      </x:c>
      <x:c r="C11" s="7" t="str">
        <x:v>Pardo-de-Santayana et al. (2007)</x:v>
      </x:c>
      <x:c r="D11" s="7" t="str">
        <x:v>RI_s = (FC_s/max(FC) + NC_s/max(NC))/2</x:v>
      </x:c>
      <x:c r="E11" s="7" t="str">
        <x:v>species,informant_id,use_category</x:v>
      </x:c>
      <x:c r="F11" s="7" t="str">
        <x:v>Species distinct-informant FC; number of categories NC; maxima &gt;0; 9/42+4/9 over 2=0.329365</x:v>
      </x:c>
      <x:c r="G11" s="7" t="str">
        <x:v>Reconstructed from narrative and worked example; check original equation</x:v>
      </x:c>
      <x:c r="H11" s="7" t="str">
        <x:v>RI rankings and two-component scatterplot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>
      <x:c r="A1" s="18" t="str">
        <x:v>Index</x:v>
      </x:c>
      <x:c r="B1" s="18" t="str">
        <x:v>Input example</x:v>
      </x:c>
      <x:c r="C1" s="18" t="str">
        <x:v>Calculated</x:v>
      </x:c>
      <x:c r="D1" s="18" t="str">
        <x:v>Status</x:v>
      </x:c>
    </x:row>
    <x:row r="2">
      <x:c r="A2" t="str">
        <x:v>RFC</x:v>
      </x:c>
      <x:c r="B2" t="str">
        <x:v>10/111</x:v>
      </x:c>
      <x:c r="C2" t="n">
        <x:v>0.09009009009009009</x:v>
      </x:c>
      <x:c r="D2" t="str">
        <x:v>0.090 rounded</x:v>
      </x:c>
    </x:row>
    <x:row r="3">
      <x:c r="A3" t="str">
        <x:v>RI (40)</x:v>
      </x:c>
      <x:c r="B3" t="str">
        <x:v>(9/42+4/9)/2</x:v>
      </x:c>
      <x:c r="C3" t="n">
        <x:v>0.32936507936507936</x:v>
      </x:c>
      <x:c r="D3" t="str">
        <x:v>0.33 rounded</x:v>
      </x:c>
    </x:row>
    <x:row r="4">
      <x:c r="A4" t="str">
        <x:v>PPV</x:v>
      </x:c>
      <x:c r="B4" t="str">
        <x:v>3 of 12 plant part reports</x:v>
      </x:c>
      <x:c r="C4" t="n">
        <x:v>0.25</x:v>
      </x:c>
      <x:c r="D4" t="str">
        <x:v>0.25</x:v>
      </x:c>
    </x:row>
    <x:row r="5">
      <x:c r="A5" t="str">
        <x:v>QUAV</x:v>
      </x:c>
      <x:c r="B5" t="str">
        <x:v>QUV 1.5 and IAR 0.6</x:v>
      </x:c>
      <x:c r="C5" t="n">
        <x:v>0.8999999999999999</x:v>
      </x:c>
      <x:c r="D5" t="str">
        <x:v>illustrative only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25" hidden="0" customWidth="1"/>
    <x:col min="5" max="5" width="65" hidden="0" customWidth="1"/>
    <x:col min="6" max="6" width="48" hidden="0" customWidth="1"/>
    <x:col min="7" max="7" width="78" hidden="0" customWidth="1"/>
    <x:col min="8" max="8" width="48" hidden="0" customWidth="1"/>
  </x:cols>
  <x:sheetData>
    <x:row r="1">
      <x:c r="A1" s="24" t="str">
        <x:v>No.</x:v>
      </x:c>
      <x:c r="B1" s="24" t="str">
        <x:v>Index</x:v>
      </x:c>
      <x:c r="C1" s="24" t="str">
        <x:v>Abbrev.</x:v>
      </x:c>
      <x:c r="D1" s="24" t="str">
        <x:v>Classification</x:v>
      </x:c>
      <x:c r="E1" s="24" t="str">
        <x:v>Corrected or candidate expression</x:v>
      </x:c>
      <x:c r="F1" s="24" t="str">
        <x:v>Required data</x:v>
      </x:c>
      <x:c r="G1" s="24" t="str">
        <x:v>Verification note</x:v>
      </x:c>
      <x:c r="H1" s="24" t="str">
        <x:v>Implementation status</x:v>
      </x:c>
    </x:row>
    <x:row r="2">
      <x:c r="A2" s="7" t="n">
        <x:v>41</x:v>
      </x:c>
      <x:c r="B2" s="7" t="str">
        <x:v>Remedy Importance Value</x:v>
      </x:c>
      <x:c r="C2" s="7" t="str">
        <x:v>IV_remedy</x:v>
      </x:c>
      <x:c r="D2" s="7" t="str">
        <x:v>Ordinal confirmation score</x:v>
      </x:c>
      <x:c r="E2" s="7" t="str">
        <x:v>4 if &gt;=2 communities; otherwise 3 if &gt;=3 reports, 2 if 2, 1 if 1; undefined if 0</x:v>
      </x:c>
      <x:c r="F2" s="7" t="str">
        <x:v>community_id,remedy_id,report_id</x:v>
      </x:c>
      <x:c r="G2" s="7" t="str">
        <x:v>Priority rule is essential; 4 overrides within-community citation count</x:v>
      </x:c>
      <x:c r="H2" s="7" t="str">
        <x:v>Provisional: counting rule needs source check</x:v>
      </x:c>
    </x:row>
    <x:row r="3">
      <x:c r="A3" s="7" t="n">
        <x:v>42</x:v>
      </x:c>
      <x:c r="B3" s="7" t="str">
        <x:v>Species Equitability Value</x:v>
      </x:c>
      <x:c r="C3" s="7" t="str">
        <x:v>SE_i</x:v>
      </x:c>
      <x:c r="D3" s="7" t="str">
        <x:v>Species distribution / equitability</x:v>
      </x:c>
      <x:c r="E3" s="7" t="str">
        <x:v>SE_i = SD_i / SD_i,max</x:v>
      </x:c>
      <x:c r="F3" s="7" t="str">
        <x:v>informant_id,species,report_count</x:v>
      </x:c>
      <x:c r="G3" s="7" t="str">
        <x:v>SD_i and maximum need source confirmation; inverse-Simpson conditional implementation</x:v>
      </x:c>
      <x:c r="H3" s="7" t="str">
        <x:v>Hold: original SD definition missing</x:v>
      </x:c>
    </x:row>
    <x:row r="4">
      <x:c r="A4" s="7" t="n">
        <x:v>43</x:v>
      </x:c>
      <x:c r="B4" s="7" t="str">
        <x:v>Syndromic Importance Value</x:v>
      </x:c>
      <x:c r="C4" s="7" t="str">
        <x:v>SIV</x:v>
      </x:c>
      <x:c r="D4" s="7" t="str">
        <x:v>Weighted symptom consensus</x:v>
      </x:c>
      <x:c r="E4" s="7" t="str">
        <x:v>Original equation missing; do not compute</x:v>
      </x:c>
      <x:c r="F4" s="7" t="str">
        <x:v>species,symptom_id,informant_id,weight</x:v>
      </x:c>
      <x:c r="G4" s="7" t="str">
        <x:v>Symptom weights sum to 1; confirm exact frequency normalization and averaging</x:v>
      </x:c>
      <x:c r="H4" s="7" t="str">
        <x:v>HOLD: original equation missing</x:v>
      </x:c>
    </x:row>
    <x:row r="5">
      <x:c r="A5" s="7" t="n">
        <x:v>44</x:v>
      </x:c>
      <x:c r="B5" s="7" t="str">
        <x:v>Total Species Diversity</x:v>
      </x:c>
      <x:c r="C5" s="7" t="str">
        <x:v>SD_tot</x:v>
      </x:c>
      <x:c r="D5" s="7" t="str">
        <x:v>Inverse concentration diversity</x:v>
      </x:c>
      <x:c r="E5" s="7" t="str">
        <x:v>SD_tot = 1 / sum_s(p_s^2) [candidate]</x:v>
      </x:c>
      <x:c r="F5" s="7" t="str">
        <x:v>species,report_count</x:v>
      </x:c>
      <x:c r="G5" s="7" t="str">
        <x:v>p_s = reports for species / all species reports; theoretical range 1..S observed</x:v>
      </x:c>
      <x:c r="H5" s="7" t="str">
        <x:v>Provisional: confirm original equation</x:v>
      </x:c>
    </x:row>
    <x:row r="6">
      <x:c r="A6" s="7" t="n">
        <x:v>45</x:v>
      </x:c>
      <x:c r="B6" s="7" t="str">
        <x:v>Total Value of Ethno-species</x:v>
      </x:c>
      <x:c r="C6" s="7" t="str">
        <x:v>V_e</x:v>
      </x:c>
      <x:c r="D6" s="7" t="str">
        <x:v>Cultural, practical, economic value</x:v>
      </x:c>
      <x:c r="E6" s="7" t="str">
        <x:v>V_e = CV_e + PV_e + EV_e (only with commensurate scaling)</x:v>
      </x:c>
      <x:c r="F6" s="7" t="str">
        <x:v>species,free_listings,scan_events,duration,price</x:v>
      </x:c>
      <x:c r="G6" s="7" t="str">
        <x:v>Subcomponent definitions conflict; 340/150000=0.002267; sum of supplied 0.520+1.23+0.0026=1.7526</x:v>
      </x:c>
      <x:c r="H6" s="7" t="str">
        <x:v>HOLD: scale and definitions inconsistent</x:v>
      </x:c>
    </x:row>
    <x:row r="7">
      <x:c r="A7" s="7" t="n">
        <x:v>46</x:v>
      </x:c>
      <x:c r="B7" s="7" t="str">
        <x:v>Use Equitability Value</x:v>
      </x:c>
      <x:c r="C7" s="7" t="str">
        <x:v>UE_s</x:v>
      </x:c>
      <x:c r="D7" s="7" t="str">
        <x:v>Use distribution equitability</x:v>
      </x:c>
      <x:c r="E7" s="7" t="str">
        <x:v>UE_s = UD_s / UD_s,max</x:v>
      </x:c>
      <x:c r="F7" s="7" t="str">
        <x:v>species,use_type,report_count</x:v>
      </x:c>
      <x:c r="G7" s="7" t="str">
        <x:v>UD_s inverse-Simpson candidate; max=number of observed use types</x:v>
      </x:c>
      <x:c r="H7" s="7" t="str">
        <x:v>Provisional: verify UD definition</x:v>
      </x:c>
    </x:row>
    <x:row r="8">
      <x:c r="A8" s="7" t="n">
        <x:v>47</x:v>
      </x:c>
      <x:c r="B8" s="7" t="str">
        <x:v>Use Value (major/minor scoring)</x:v>
      </x:c>
      <x:c r="C8" s="7" t="str">
        <x:v>UV_s (weighted)</x:v>
      </x:c>
      <x:c r="D8" s="7" t="str">
        <x:v>Weighted categorical use value</x:v>
      </x:c>
      <x:c r="E8" s="7" t="str">
        <x:v>UV_s = sum_i(sum_u w_u)/N; w=1 major,0.5 minor [if chosen]</x:v>
      </x:c>
      <x:c r="F8" s="7" t="str">
        <x:v>species,informant_id,use_category,major_minor</x:v>
      </x:c>
      <x:c r="G8" s="7" t="str">
        <x:v>Text mixes researcher-weighted Prance method with informant mean Phillips UV; do not conflate</x:v>
      </x:c>
      <x:c r="H8" s="7" t="str">
        <x:v>HOLD: source attribution and scoring protocol</x:v>
      </x:c>
    </x:row>
    <x:row r="9">
      <x:c r="A9" s="7" t="n">
        <x:v>48</x:v>
      </x:c>
      <x:c r="B9" s="7" t="str">
        <x:v>Family Use Value</x:v>
      </x:c>
      <x:c r="C9" s="7" t="str">
        <x:v>UV_f</x:v>
      </x:c>
      <x:c r="D9" s="7" t="str">
        <x:v>Family aggregation</x:v>
      </x:c>
      <x:c r="E9" s="7" t="str">
        <x:v>UV_f = sum_{s in family} UV_s / n_f</x:v>
      </x:c>
      <x:c r="F9" s="7" t="str">
        <x:v>family,species,UV_s</x:v>
      </x:c>
      <x:c r="G9" s="7" t="str">
        <x:v>Same computation as Formula 30; number of eligible species in family</x:v>
      </x:c>
      <x:c r="H9" s="7" t="str">
        <x:v>Ready for tests; alias of 30</x:v>
      </x:c>
    </x:row>
    <x:row r="10">
      <x:c r="A10" s="7" t="n">
        <x:v>49</x:v>
      </x:c>
      <x:c r="B10" s="7" t="str">
        <x:v>Informant Species Use Value</x:v>
      </x:c>
      <x:c r="C10" s="7" t="str">
        <x:v>UV_is</x:v>
      </x:c>
      <x:c r="D10" s="7" t="str">
        <x:v>Repeated interview-event mean</x:v>
      </x:c>
      <x:c r="E10" s="7" t="str">
        <x:v>UV_is = sum_e U_ise / n_is</x:v>
      </x:c>
      <x:c r="F10" s="7" t="str">
        <x:v>informant_id,species,event_id,use_id</x:v>
      </x:c>
      <x:c r="G10" s="7" t="str">
        <x:v>n_is counts eligible interview events, not quotations; zero-event undefined</x:v>
      </x:c>
      <x:c r="H10" s="7" t="str">
        <x:v>Ready for tests; overlaps Formula 5</x:v>
      </x:c>
    </x:row>
    <x:row r="11">
      <x:c r="A11" s="7" t="n">
        <x:v>50</x:v>
      </x:c>
      <x:c r="B11" s="7" t="str">
        <x:v>Use Value within Category</x:v>
      </x:c>
      <x:c r="C11" s="7" t="str">
        <x:v>UV_c</x:v>
      </x:c>
      <x:c r="D11" s="7" t="str">
        <x:v>Category aggregation</x:v>
      </x:c>
      <x:c r="E11" s="7" t="str">
        <x:v>UV_c = sum_{s in category} UV_s / n_c</x:v>
      </x:c>
      <x:c r="F11" s="7" t="str">
        <x:v>use_category,species,UV_s</x:v>
      </x:c>
      <x:c r="G11" s="7" t="str">
        <x:v>n_c = number of included species in category; distinguish categorical UV per species</x:v>
      </x:c>
      <x:c r="H11" s="7" t="str">
        <x:v>Ready for tests with declared scope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3" t="str">
        <x:v>Formula</x:v>
      </x:c>
      <x:c r="B1" s="23" t="str">
        <x:v>Check</x:v>
      </x:c>
      <x:c r="C1" s="23" t="str">
        <x:v>Result</x:v>
      </x:c>
      <x:c r="D1" s="23" t="str">
        <x:v>Interpretation</x:v>
      </x:c>
    </x:row>
    <x:row r="2">
      <x:c r="A2" t="n">
        <x:v>41</x:v>
      </x:c>
      <x:c r="B2" t="str">
        <x:v>Two communities with 1 report each</x:v>
      </x:c>
      <x:c r="C2" t="n">
        <x:v>4</x:v>
      </x:c>
      <x:c r="D2" t="str">
        <x:v>Cross-community score overrides count=2</x:v>
      </x:c>
    </x:row>
    <x:row r="3">
      <x:c r="A3" t="n">
        <x:v>44</x:v>
      </x:c>
      <x:c r="B3" t="str">
        <x:v>Report counts 2,2,2</x:v>
      </x:c>
      <x:c r="C3" t="n">
        <x:v>3</x:v>
      </x:c>
      <x:c r="D3" t="str">
        <x:v>Candidate inverse Simpson: 1/(3*(1/3)^2)</x:v>
      </x:c>
    </x:row>
    <x:row r="4">
      <x:c r="A4" t="n">
        <x:v>45</x:v>
      </x:c>
      <x:c r="B4" t="str">
        <x:v>Economic: (4*50+2*70)/150000</x:v>
      </x:c>
      <x:c r="C4" t="n">
        <x:v>0.002266666666666667</x:v>
      </x:c>
      <x:c r="D4" t="str">
        <x:v>0.0022667, not 0.0026</x:v>
      </x:c>
    </x:row>
    <x:row r="5">
      <x:c r="A5" t="n">
        <x:v>45</x:v>
      </x:c>
      <x:c r="B5" t="str">
        <x:v>Reported total 0.520+1.23+0.0026</x:v>
      </x:c>
      <x:c r="C5" t="n">
        <x:v>1.7526</x:v>
      </x:c>
      <x:c r="D5" t="str">
        <x:v>Approx. 1.75, but incompatible component scales</x:v>
      </x:c>
    </x:row>
    <x:row r="6">
      <x:c r="A6" t="n">
        <x:v>46</x:v>
      </x:c>
      <x:c r="B6" t="str">
        <x:v>Three use types with 1 report each</x:v>
      </x:c>
      <x:c r="C6" t="n">
        <x:v>1</x:v>
      </x:c>
      <x:c r="D6" t="str">
        <x:v>Candidate normalized inverse-Simpson 3/3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27" hidden="0" customWidth="1"/>
    <x:col min="4" max="4" width="62" hidden="0" customWidth="1"/>
    <x:col min="5" max="5" width="48" hidden="0" customWidth="1"/>
    <x:col min="6" max="6" width="36" hidden="0" customWidth="1"/>
    <x:col min="7" max="7" width="29" hidden="0" customWidth="1"/>
    <x:col min="8" max="8" width="90" hidden="0" customWidth="1"/>
    <x:col min="9" max="9" width="58" hidden="0" customWidth="1"/>
  </x:cols>
  <x:sheetData>
    <x:row r="1" ht="31" customHeight="1">
      <x:c r="A1" s="26" t="str">
        <x:v>No.</x:v>
      </x:c>
      <x:c r="B1" s="26" t="str">
        <x:v>Index</x:v>
      </x:c>
      <x:c r="C1" s="26" t="str">
        <x:v>Citation as supplied</x:v>
      </x:c>
      <x:c r="D1" s="26" t="str">
        <x:v>Corrected formula / method</x:v>
      </x:c>
      <x:c r="E1" s="26" t="str">
        <x:v>Inputs</x:v>
      </x:c>
      <x:c r="F1" s="26" t="str">
        <x:v>Range / handling</x:v>
      </x:c>
      <x:c r="G1" s="26" t="str">
        <x:v>Status</x:v>
      </x:c>
      <x:c r="H1" s="26" t="str">
        <x:v>Source / implementation cautions</x:v>
      </x:c>
      <x:c r="I1" s="26" t="str">
        <x:v>Example or audit</x:v>
      </x:c>
    </x:row>
    <x:row r="2">
      <x:c r="A2" s="7" t="n">
        <x:v>51</x:v>
      </x:c>
      <x:c r="B2" s="7" t="str">
        <x:v>Use Value by Sex</x:v>
      </x:c>
      <x:c r="C2" s="7" t="str">
        <x:v>Rossato et al. (1999), modified</x:v>
      </x:c>
      <x:c r="D2" s="7" t="str">
        <x:v>UV_{s,g}=sum_i U_{is}/N_g</x:v>
      </x:c>
      <x:c r="E2" s="7" t="str">
        <x:v>species, informant_id, sex, use count; eligibility</x:v>
      </x:c>
      <x:c r="F2" s="7" t="str">
        <x:v>&gt;=0; N_g&gt;0</x:v>
      </x:c>
      <x:c r="G2" s="7" t="str">
        <x:v>Conditional</x:v>
      </x:c>
      <x:c r="H2" s="7" t="str">
        <x:v>Specify whether N_g is all sampled in sex group or interviewed about species; do not mix denominators</x:v>
      </x:c>
      <x:c r="I2" s="7" t="str">
        <x:v>Men: 12 reports / 6 men = 2; women: 9 / 3 = 3</x:v>
      </x:c>
    </x:row>
    <x:row r="3">
      <x:c r="A3" s="7" t="n">
        <x:v>52</x:v>
      </x:c>
      <x:c r="B3" s="7" t="str">
        <x:v>Use Diversity Value</x:v>
      </x:c>
      <x:c r="C3" s="7" t="str">
        <x:v>Byg &amp; Balslev (2001)</x:v>
      </x:c>
      <x:c r="D3" s="7" t="str">
        <x:v>UD_s=1/sum_c(p_sc^2); p_sc=r_sc/sum_c r_sc</x:v>
      </x:c>
      <x:c r="E3" s="7" t="str">
        <x:v>species, category, report_count</x:v>
      </x:c>
      <x:c r="F3" s="7" t="str">
        <x:v>1..k for k&gt;0; undefined with zero reports</x:v>
      </x:c>
      <x:c r="G3" s="7" t="str">
        <x:v>Ready for testing</x:v>
      </x:c>
      <x:c r="H3" s="7" t="str">
        <x:v>Inverse Simpson effective number of use categories; count categories consistently</x:v>
      </x:c>
      <x:c r="I3" s="7" t="str">
        <x:v>Counts 3,1 -&gt; p=.75,.25; UD=1.6</x:v>
      </x:c>
    </x:row>
    <x:row r="4">
      <x:c r="A4" s="7" t="n">
        <x:v>53</x:v>
      </x:c>
      <x:c r="B4" s="7" t="str">
        <x:v>Use Diversity / category share</x:v>
      </x:c>
      <x:c r="C4" s="7" t="str">
        <x:v>Byg &amp; Balslev (2001); Monteiro et al. (2006)</x:v>
      </x:c>
      <x:c r="D4" s="7" t="str">
        <x:v>UD_c=U_c/U_total</x:v>
      </x:c>
      <x:c r="E4" s="7" t="str">
        <x:v>category, indication_count</x:v>
      </x:c>
      <x:c r="F4" s="7" t="str">
        <x:v>0..1; undefined if denominator zero</x:v>
      </x:c>
      <x:c r="G4" s="7" t="str">
        <x:v>Ready for testing</x:v>
      </x:c>
      <x:c r="H4" s="7" t="str">
        <x:v>This is a category share, not diversity; use distinct internal ID</x:v>
      </x:c>
      <x:c r="I4" s="7" t="str">
        <x:v>Counts 3 of 8 -&gt; 0.375</x:v>
      </x:c>
    </x:row>
    <x:row r="5">
      <x:c r="A5" s="7" t="n">
        <x:v>54</x:v>
      </x:c>
      <x:c r="B5" s="7" t="str">
        <x:v>Cultural Significance Index, modified</x:v>
      </x:c>
      <x:c r="C5" s="7" t="str">
        <x:v>Turner (1988), subsequent adaptations</x:v>
      </x:c>
      <x:c r="D5" s="7" t="str">
        <x:v>CSI_s=CF_s*sum_u(i_su*e_su*c_su); CF_s=citations_s/max_t citations_t</x:v>
      </x:c>
      <x:c r="E5" s="7" t="str">
        <x:v>species, use, management, preference, frequency scores, citations</x:v>
      </x:c>
      <x:c r="F5" s="7" t="str">
        <x:v>&gt;=0; maximum depends on number of uses; max citations&gt;0</x:v>
      </x:c>
      <x:c r="G5" s="7" t="str">
        <x:v>Conditional</x:v>
      </x:c>
      <x:c r="H5" s="7" t="str">
        <x:v>Scoring 1/2 for each component; ensure management is assigned at appropriate scope; citation counting policy</x:v>
      </x:c>
      <x:c r="I5" s="7" t="str">
        <x:v>Two uses scored (2,2,2),(1,1,2); CF=.5 -&gt; CSI=5</x:v>
      </x:c>
    </x:row>
    <x:row r="6">
      <x:c r="A6" s="7" t="n">
        <x:v>55</x:v>
      </x:c>
      <x:c r="B6" s="7" t="str">
        <x:v>Index of Cultural Significance</x:v>
      </x:c>
      <x:c r="C6" s="7" t="str">
        <x:v>Turner (1988)</x:v>
      </x:c>
      <x:c r="D6" s="7" t="str">
        <x:v>ICS_s=sum_u(q_su*i_su*e_su) [candidate; confirm exact source]</x:v>
      </x:c>
      <x:c r="E6" s="7" t="str">
        <x:v>species, use, quality, intensity, exclusivity</x:v>
      </x:c>
      <x:c r="F6" s="7" t="str">
        <x:v>Scale depends on scoring rubric</x:v>
      </x:c>
      <x:c r="G6" s="7" t="str">
        <x:v>Hold: source equation</x:v>
      </x:c>
      <x:c r="H6" s="7" t="str">
        <x:v>Original equation and exclusivity scoring omitted; do not conflate with modified CSI</x:v>
      </x:c>
      <x:c r="I6" s="7" t="str">
        <x:v>No validated example</x:v>
      </x:c>
    </x:row>
    <x:row r="7">
      <x:c r="A7" s="7" t="n">
        <x:v>56</x:v>
      </x:c>
      <x:c r="B7" s="7" t="str">
        <x:v>Cultural Food Significance Index</x:v>
      </x:c>
      <x:c r="C7" s="7" t="str">
        <x:v>Pieroni (2001)</x:v>
      </x:c>
      <x:c r="D7" s="7" t="str">
        <x:v>CFSI=QI*AI*FUI*PUI*MFFI*TSAI*FMRI*10^-2</x:v>
      </x:c>
      <x:c r="E7" s="7" t="str">
        <x:v>species and seven scored subindices</x:v>
      </x:c>
      <x:c r="F7" s="7" t="str">
        <x:v>Nonnegative if scored factors nonnegative</x:v>
      </x:c>
      <x:c r="G7" s="7" t="str">
        <x:v>Conditional</x:v>
      </x:c>
      <x:c r="H7" s="7" t="str">
        <x:v>Source gives score tables, but AI localization correction, QI scaling, PUI and MFFI aggregation need source checks; preserve original table</x:v>
      </x:c>
      <x:c r="I7" s="7" t="str">
        <x:v>Example QI=5, AI=3, FUI=4, PUI=1.5, MFFI=2, TSAI=7.5, FMRI=3 -&gt; 40.5</x:v>
      </x:c>
    </x:row>
    <x:row r="8">
      <x:c r="A8" s="7" t="n">
        <x:v>57</x:v>
      </x:c>
      <x:c r="B8" s="7" t="str">
        <x:v>Edible Mushroom Cultural Significance Index</x:v>
      </x:c>
      <x:c r="C8" s="7" t="str">
        <x:v>Garibay-Orijel et al. (2007)</x:v>
      </x:c>
      <x:c r="D8" s="7" t="str">
        <x:v>EMCSI=QI*(PAI+FUI+TSAI+MFFI+KTI+HI+EI)</x:v>
      </x:c>
      <x:c r="E8" s="7" t="str">
        <x:v>mushroom, QI, seven scores</x:v>
      </x:c>
      <x:c r="F8" s="7" t="str">
        <x:v>&gt;=0 for nonnegative scores</x:v>
      </x:c>
      <x:c r="G8" s="7" t="str">
        <x:v>Conditional</x:v>
      </x:c>
      <x:c r="H8" s="7" t="str">
        <x:v>Some MFFI rules add +1; QI definition and category scoring require confirmation</x:v>
      </x:c>
      <x:c r="I8" s="7" t="str">
        <x:v>QI=4; each of seven subindices=5 -&gt; 140</x:v>
      </x:c>
    </x:row>
    <x:row r="9">
      <x:c r="A9" s="7" t="n">
        <x:v>58</x:v>
      </x:c>
      <x:c r="B9" s="7" t="str">
        <x:v>Ethnobotanical Knowledge transmission model</x:v>
      </x:c>
      <x:c r="C9" s="7" t="str">
        <x:v>García et al. (2009), as supplied</x:v>
      </x:c>
      <x:c r="D9" s="7" t="str">
        <x:v>OK_ijv=alpha+beta*PK_ijv+gamma*SK_ijv+theta*CK_ijv+delta*D_ijv+village effects+error [inferred]</x:v>
      </x:c>
      <x:c r="E9" s="7" t="str">
        <x:v>person, household, village, knowledge score, parent and cohort variables</x:v>
      </x:c>
      <x:c r="F9" s="7" t="str">
        <x:v>Regression model; not a standalone index</x:v>
      </x:c>
      <x:c r="G9" s="7" t="str">
        <x:v>Hold: source equation</x:v>
      </x:c>
      <x:c r="H9" s="7" t="str">
        <x:v>Equation absent in paste; cohort exclusions and parent matching needed; coefficients must be fitted</x:v>
      </x:c>
      <x:c r="I9" s="7" t="str">
        <x:v>No valid numeric example</x:v>
      </x:c>
    </x:row>
    <x:row r="10">
      <x:c r="A10" s="7" t="n">
        <x:v>59</x:v>
      </x:c>
      <x:c r="B10" s="7" t="str">
        <x:v>Index of Conservation Priority</x:v>
      </x:c>
      <x:c r="C10" s="7" t="str">
        <x:v>Martínez et al. (2006)</x:v>
      </x:c>
      <x:c r="D10" s="7" t="str">
        <x:v>HEI=CI+HDI+HMI; WHI=HEI*WF; full ICP equation missing</x:v>
      </x:c>
      <x:c r="E10" s="7" t="str">
        <x:v>species, origin, commercial demand, abundance, propagation, harvest, collectors, destinations</x:v>
      </x:c>
      <x:c r="F10" s="7" t="str">
        <x:v>Rank depends on full original model</x:v>
      </x:c>
      <x:c r="G10" s="7" t="str">
        <x:v>Hold: composite equation</x:v>
      </x:c>
      <x:c r="H10" s="7" t="str">
        <x:v>Original ICP, CI, HDI, WF equations missing; preserve ROA 1..4, RCD 1..4 and component rubrics</x:v>
      </x:c>
      <x:c r="I10" s="7" t="str">
        <x:v>HEI example 0.5+0.5+1=2; illustrative only</x:v>
      </x:c>
    </x:row>
    <x:row r="11">
      <x:c r="A11" s="7" t="n">
        <x:v>60</x:v>
      </x:c>
      <x:c r="B11" s="7" t="str">
        <x:v>Medicinal Plant Conservation Prioritization</x:v>
      </x:c>
      <x:c r="C11" s="7" t="str">
        <x:v>Dhar et al. (2000)</x:v>
      </x:c>
      <x:c r="D11" s="7" t="str">
        <x:v>IVI=f(UVI,SI) unknown; source says UVI based on n*q and SI based on SR,NR</x:v>
      </x:c>
      <x:c r="E11" s="7" t="str">
        <x:v>species, presentations n, mean quantity q, sensitivity rank SR, naturalness NR</x:v>
      </x:c>
      <x:c r="F11" s="7" t="str">
        <x:v>Ranking undefined without combination rule</x:v>
      </x:c>
      <x:c r="G11" s="7" t="str">
        <x:v>Hold: composite equation</x:v>
      </x:c>
      <x:c r="H11" s="7" t="str">
        <x:v>Original UVI/SI/IVI equations missing; n*q is a quantum-of-use input, not confirmed final UVI; SR 1..8, NR 1..5</x:v>
      </x:c>
      <x:c r="I11" s="7" t="str">
        <x:v>n=3, q=20 -&gt; quantum 60; not IVI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26" t="str">
        <x:v>Index</x:v>
      </x:c>
      <x:c r="B1" s="26" t="str">
        <x:v>Input 1</x:v>
      </x:c>
      <x:c r="C1" s="26" t="str">
        <x:v>Input 2</x:v>
      </x:c>
      <x:c r="D1" s="26" t="str">
        <x:v>Expected result</x:v>
      </x:c>
      <x:c r="E1" s="26" t="str">
        <x:v>Comment</x:v>
      </x:c>
    </x:row>
    <x:row r="2">
      <x:c r="A2" t="str">
        <x:v>UDs</x:v>
      </x:c>
      <x:c r="B2" t="str">
        <x:v>3,1</x:v>
      </x:c>
      <x:c r="C2" t="str">
        <x:v>p=0.75,0.25</x:v>
      </x:c>
      <x:c r="D2" t="n">
        <x:v>1.6</x:v>
      </x:c>
      <x:c r="E2" t="str">
        <x:v>Inverse Simpson</x:v>
      </x:c>
    </x:row>
    <x:row r="3">
      <x:c r="A3" t="str">
        <x:v>Category share</x:v>
      </x:c>
      <x:c r="B3" t="n">
        <x:v>3</x:v>
      </x:c>
      <x:c r="C3" t="n">
        <x:v>8</x:v>
      </x:c>
      <x:c r="D3" t="n">
        <x:v>0.375</x:v>
      </x:c>
      <x:c r="E3" t="str">
        <x:v>3/8</x:v>
      </x:c>
    </x:row>
    <x:row r="4">
      <x:c r="A4" t="str">
        <x:v>Modified CSI</x:v>
      </x:c>
      <x:c r="B4" t="str">
        <x:v>CF=.5</x:v>
      </x:c>
      <x:c r="C4" t="str">
        <x:v>8+2</x:v>
      </x:c>
      <x:c r="D4" t="n">
        <x:v>5</x:v>
      </x:c>
      <x:c r="E4" t="str">
        <x:v>Weighted sum</x:v>
      </x:c>
    </x:row>
    <x:row r="5">
      <x:c r="A5" t="str">
        <x:v>CFSI</x:v>
      </x:c>
      <x:c r="B5" t="str">
        <x:v>5*3*4*1.5*2*7.5*3</x:v>
      </x:c>
      <x:c r="C5" t="str">
        <x:v>*0.01</x:v>
      </x:c>
      <x:c r="D5" t="n">
        <x:v>40.5</x:v>
      </x:c>
      <x:c r="E5" t="str">
        <x:v>Illustrative scores only</x:v>
      </x:c>
    </x:row>
    <x:row r="6">
      <x:c r="A6" t="str">
        <x:v>EMCSI</x:v>
      </x:c>
      <x:c r="B6" t="str">
        <x:v>QI=4</x:v>
      </x:c>
      <x:c r="C6" t="str">
        <x:v>7 indices at 5</x:v>
      </x:c>
      <x:c r="D6" t="n">
        <x:v>140</x:v>
      </x:c>
      <x:c r="E6" t="str">
        <x:v>Illustrative scores only</x:v>
      </x:c>
    </x:row>
    <x:row r="7">
      <x:c r="A7" t="str">
        <x:v>Men UV</x:v>
      </x:c>
      <x:c r="B7" t="n">
        <x:v>12</x:v>
      </x:c>
      <x:c r="C7" t="n">
        <x:v>6</x:v>
      </x:c>
      <x:c r="D7" t="n">
        <x:v>2</x:v>
      </x:c>
      <x:c r="E7" t="str">
        <x:v>Reports per eligible male informant</x:v>
      </x:c>
    </x:row>
    <x:row r="8">
      <x:c r="A8" t="str">
        <x:v>Women UV</x:v>
      </x:c>
      <x:c r="B8" t="n">
        <x:v>9</x:v>
      </x:c>
      <x:c r="C8" t="n">
        <x:v>3</x:v>
      </x:c>
      <x:c r="D8" t="n">
        <x:v>3</x:v>
      </x:c>
      <x:c r="E8" t="str">
        <x:v>Reports per eligible female informant</x:v>
      </x:c>
    </x:row>
    <x:row r="9">
      <x:c r="A9" t="str">
        <x:v>Harvest HEI</x:v>
      </x:c>
      <x:c r="B9" t="str">
        <x:v>0.5+0.5+1</x:v>
      </x:c>
      <x:c r="C9" t="str"/>
      <x:c r="D9" t="n">
        <x:v>2</x:v>
      </x:c>
      <x:c r="E9" t="str">
        <x:v>Not complete ICP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9" t="str">
        <x:v>Source location</x:v>
      </x:c>
      <x:c r="B1" s="29" t="str">
        <x:v>Method</x:v>
      </x:c>
      <x:c r="C1" s="29" t="str">
        <x:v>Formula status</x:v>
      </x:c>
      <x:c r="D1" s="29" t="str">
        <x:v>Action</x:v>
      </x:c>
      <x:c r="E1" s="29"/>
      <x:c r="F1" s="29"/>
      <x:c r="G1" s="29"/>
      <x:c r="H1" s="29"/>
      <x:c r="I1" s="29"/>
      <x:c r="J1" s="29"/>
      <x:c r="K1" s="29"/>
    </x:row>
    <x:row r="2">
      <x:c r="A2" t="str">
        <x:v>Between 61 and 62</x:v>
      </x:c>
      <x:c r="B2" t="str">
        <x:v>Mander et al. (1997), modified by Dzerfos &amp; Witkowski (2001), local conservation priorities</x:v>
      </x:c>
      <x:c r="C2" t="str">
        <x:v>Composite equations for BS and RU missing from pasted text</x:v>
      </x:c>
      <x:c r="D2" t="str">
        <x:v>Record separately, pending source; do not silently assign No. 70</x:v>
      </x:c>
    </x:row>
    <x:row r="3">
      <x:c r="A3" t="str">
        <x:v>Within 62</x:v>
      </x:c>
      <x:c r="B3" t="str">
        <x:v>Martinez (2013) ILCP</x:v>
      </x:c>
      <x:c r="C3" t="str">
        <x:v>RI, ECV, CS scoring tables; composite formula not supplied</x:v>
      </x:c>
      <x:c r="D3" t="str">
        <x:v>Separate variant from Albuquerque LCPI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9" t="str">
        <x:v>Index</x:v>
      </x:c>
      <x:c r="B1" s="29" t="str">
        <x:v>Species / habitat</x:v>
      </x:c>
      <x:c r="C1" s="29" t="str">
        <x:v>Inputs</x:v>
      </x:c>
      <x:c r="D1" s="29" t="str">
        <x:v>Calculation</x:v>
      </x:c>
      <x:c r="E1" s="29" t="str">
        <x:v>Result</x:v>
      </x:c>
      <x:c r="F1" s="29" t="str">
        <x:v>Note</x:v>
      </x:c>
      <x:c r="G1" s="29"/>
      <x:c r="H1" s="29"/>
      <x:c r="I1" s="29"/>
      <x:c r="J1" s="29"/>
      <x:c r="K1" s="29"/>
    </x:row>
    <x:row r="2">
      <x:c r="A2" t="str">
        <x:v>MAV</x:v>
      </x:c>
      <x:c r="B2" t="str">
        <x:v>Corchorus depressus</x:v>
      </x:c>
      <x:c r="C2" t="str">
        <x:v>ICD 10,11,10</x:v>
      </x:c>
      <x:c r="D2" t="str">
        <x:v>2/20</x:v>
      </x:c>
      <x:c r="E2" t="n">
        <x:v>0.1</x:v>
      </x:c>
      <x:c r="F2" t="str">
        <x:v>Source reports 0.01, corrected</x:v>
      </x:c>
    </x:row>
    <x:row r="3">
      <x:c r="A3" t="str">
        <x:v>MAV</x:v>
      </x:c>
      <x:c r="B3" t="str">
        <x:v>Asparagus racemosus</x:v>
      </x:c>
      <x:c r="C3" t="str">
        <x:v>ICD 19,8,10,10,14,13</x:v>
      </x:c>
      <x:c r="D3" t="str">
        <x:v>5/20</x:v>
      </x:c>
      <x:c r="E3" t="n">
        <x:v>0.25</x:v>
      </x:c>
      <x:c r="F3" t="str">
        <x:v>Distinct chapters</x:v>
      </x:c>
    </x:row>
    <x:row r="4">
      <x:c r="A4" t="str">
        <x:v>MAV</x:v>
      </x:c>
      <x:c r="B4" t="str">
        <x:v>Tribulus terrestris</x:v>
      </x:c>
      <x:c r="C4" t="str">
        <x:v>ICD 11,14,13,14,13,13,9</x:v>
      </x:c>
      <x:c r="D4" t="str">
        <x:v>4/20</x:v>
      </x:c>
      <x:c r="E4" t="n">
        <x:v>0.2</x:v>
      </x:c>
      <x:c r="F4" t="str">
        <x:v>Distinct chapters</x:v>
      </x:c>
    </x:row>
    <x:row r="5">
      <x:c r="A5" t="str">
        <x:v>EIV</x:v>
      </x:c>
      <x:c r="B5" t="str">
        <x:v>Habitat A</x:v>
      </x:c>
      <x:c r="C5" t="str">
        <x:v>salience 0.6; 4 of 10 individuals</x:v>
      </x:c>
      <x:c r="D5" t="str">
        <x:v>0.6*(4/10)</x:v>
      </x:c>
      <x:c r="E5" t="n">
        <x:v>0.24</x:v>
      </x:c>
      <x:c r="F5" t="str">
        <x:v>One species contribution</x:v>
      </x:c>
    </x:row>
    <x:row r="6">
      <x:c r="A6" t="str">
        <x:v>ID share</x:v>
      </x:c>
      <x:c r="B6" t="str">
        <x:v>Informant 1</x:v>
      </x:c>
      <x:c r="C6" t="str">
        <x:v>2 of 5 reports</x:v>
      </x:c>
      <x:c r="D6" t="str">
        <x:v>2/5</x:v>
      </x:c>
      <x:c r="E6" t="n">
        <x:v>0.4</x:v>
      </x:c>
      <x:c r="F6" t="str">
        <x:v>Shares across informants sum to 1</x:v>
      </x:c>
    </x:row>
    <x:row r="7">
      <x:c r="A7" t="str">
        <x:v>LCPI</x:v>
      </x:c>
      <x:c r="B7" t="str">
        <x:v>Illustrative</x:v>
      </x:c>
      <x:c r="C7" t="str">
        <x:v>CR 6, DA 4, RD 7</x:v>
      </x:c>
      <x:c r="D7" t="str">
        <x:v>6+4+7</x:v>
      </x:c>
      <x:c r="E7" t="n">
        <x:v>17</x:v>
      </x:c>
      <x:c r="F7" t="str">
        <x:v>Only if scoring thresholds resolved</x:v>
      </x:c>
    </x:row>
  </x:sheetData>
  <x:pageMargins left="0.7" right="0.7" top="0.75" bottom="0.75" header="0.3" footer="0.3"/>
</x:worksheet>
</file>